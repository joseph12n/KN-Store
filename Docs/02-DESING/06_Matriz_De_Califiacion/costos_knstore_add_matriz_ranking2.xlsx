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07129B85-15C6-45AE-A7F8-2AD592E32F1A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Resumen Ejecutivo" sheetId="1" r:id="rId1"/>
    <sheet name="CAPEX" sheetId="2" r:id="rId2"/>
    <sheet name="OPEX" sheetId="3" r:id="rId3"/>
    <sheet name="Cloud" sheetId="4" state="hidden" r:id="rId4"/>
    <sheet name="Graficos" sheetId="5" r:id="rId5"/>
    <sheet name="Matriz_Calificacion" sheetId="7" r:id="rId6"/>
    <sheet name="Ranking_Proveedore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G7" i="3" s="1"/>
  <c r="B5" i="1" s="1"/>
  <c r="F6" i="3"/>
  <c r="F7" i="3" s="1"/>
  <c r="B4" i="1" s="1"/>
  <c r="E6" i="3"/>
  <c r="E7" i="3" s="1"/>
  <c r="B3" i="1" s="1"/>
  <c r="G5" i="3"/>
  <c r="F5" i="3"/>
  <c r="E5" i="3"/>
  <c r="G4" i="3"/>
  <c r="F4" i="3"/>
  <c r="E4" i="3"/>
  <c r="G3" i="3"/>
  <c r="F3" i="3"/>
  <c r="E3" i="3"/>
  <c r="G2" i="3"/>
  <c r="F2" i="3"/>
  <c r="E2" i="3"/>
  <c r="D127" i="2"/>
  <c r="G10" i="2"/>
  <c r="G9" i="2"/>
  <c r="G8" i="2"/>
  <c r="G7" i="2"/>
  <c r="G6" i="2"/>
  <c r="G5" i="2"/>
  <c r="G4" i="2"/>
  <c r="G3" i="2"/>
  <c r="G2" i="2"/>
  <c r="G13" i="2" s="1"/>
  <c r="B2" i="1" s="1"/>
  <c r="F2" i="2"/>
  <c r="B6" i="1" l="1"/>
  <c r="B7" i="1" s="1"/>
</calcChain>
</file>

<file path=xl/sharedStrings.xml><?xml version="1.0" encoding="utf-8"?>
<sst xmlns="http://schemas.openxmlformats.org/spreadsheetml/2006/main" count="155" uniqueCount="109">
  <si>
    <t>Indicador</t>
  </si>
  <si>
    <t>Valor</t>
  </si>
  <si>
    <t>Observaciones</t>
  </si>
  <si>
    <t>CAPEX Total</t>
  </si>
  <si>
    <t>OPEX Total Anual</t>
  </si>
  <si>
    <t>Costo total 3 años</t>
  </si>
  <si>
    <t>Costo total 5 años</t>
  </si>
  <si>
    <t>ROI (%)</t>
  </si>
  <si>
    <t>Suponiendo 15% de retorno</t>
  </si>
  <si>
    <t>TOTAL</t>
  </si>
  <si>
    <t>Categoría</t>
  </si>
  <si>
    <t>Descripción</t>
  </si>
  <si>
    <t>Proveedor</t>
  </si>
  <si>
    <t>Costo por hora</t>
  </si>
  <si>
    <t xml:space="preserve"> Horas Estimadas</t>
  </si>
  <si>
    <t>Costo unitario</t>
  </si>
  <si>
    <t>Costo total</t>
  </si>
  <si>
    <t>Responsable</t>
  </si>
  <si>
    <t>API REST</t>
  </si>
  <si>
    <t>Endpoints CRUD para productos, usuarios, pedidos</t>
  </si>
  <si>
    <t>Desarrolladores</t>
  </si>
  <si>
    <t>Base de Datos</t>
  </si>
  <si>
    <t>Modelado, consultas, normalización</t>
  </si>
  <si>
    <t>Seguridad</t>
  </si>
  <si>
    <t>Tokens, encriptación, permisos</t>
  </si>
  <si>
    <t>Integraciones</t>
  </si>
  <si>
    <t>Pasarela de pagos, notificaciones</t>
  </si>
  <si>
    <t>Panel Admin</t>
  </si>
  <si>
    <t>Gestión de inventario, pedidos, usuarios</t>
  </si>
  <si>
    <t>Diseño UI/UX</t>
  </si>
  <si>
    <t>Wireframes, mockups, experiencia de usuario</t>
  </si>
  <si>
    <t>Catálogo Interactivo</t>
  </si>
  <si>
    <t>Filtros, paginación, vista detallada</t>
  </si>
  <si>
    <t>Carrito de Compras</t>
  </si>
  <si>
    <t>Flujo de compra completo</t>
  </si>
  <si>
    <t>Checkout Seguro</t>
  </si>
  <si>
    <t>Formulario, validaciones, integración pasarela</t>
  </si>
  <si>
    <t>Responsive Design</t>
  </si>
  <si>
    <t>Adaptación móvil, tablet, desktop</t>
  </si>
  <si>
    <t>Nomina</t>
  </si>
  <si>
    <t>Nomina del personal del desarrollo</t>
  </si>
  <si>
    <t>El valor 328 es el resultado de la suma de horas totales</t>
  </si>
  <si>
    <t>total</t>
  </si>
  <si>
    <t>Actividad</t>
  </si>
  <si>
    <t>Horas</t>
  </si>
  <si>
    <t>Tarifa</t>
  </si>
  <si>
    <t>Costo</t>
  </si>
  <si>
    <t>Wireframes</t>
  </si>
  <si>
    <t>20 h</t>
  </si>
  <si>
    <t>Mockups Alta Fidelidad</t>
  </si>
  <si>
    <t>Prototipo Navegable</t>
  </si>
  <si>
    <t>10 h</t>
  </si>
  <si>
    <t>Total</t>
  </si>
  <si>
    <t>Periodicidad</t>
  </si>
  <si>
    <t>Costo anual</t>
  </si>
  <si>
    <t>Costo 3 años</t>
  </si>
  <si>
    <t>Costo 5 años</t>
  </si>
  <si>
    <t>Hosting Cloud</t>
  </si>
  <si>
    <t>Dominio</t>
  </si>
  <si>
    <t>SSL</t>
  </si>
  <si>
    <t>Certificado de seguridad</t>
  </si>
  <si>
    <t>CDN</t>
  </si>
  <si>
    <t>Cloudflare</t>
  </si>
  <si>
    <t>Monitoreo</t>
  </si>
  <si>
    <t>Recurso Cloud</t>
  </si>
  <si>
    <t>SKU</t>
  </si>
  <si>
    <t>Unidad</t>
  </si>
  <si>
    <t>Consumo estimado</t>
  </si>
  <si>
    <t>Costo mensual</t>
  </si>
  <si>
    <t>Disponibilidad (%)</t>
  </si>
  <si>
    <t>Soporte</t>
  </si>
  <si>
    <t>Tiempo de respuesta</t>
  </si>
  <si>
    <t>Precio anual dominio (COP)</t>
  </si>
  <si>
    <t>Precio anual hosting (COP)</t>
  </si>
  <si>
    <t>Calificación general</t>
  </si>
  <si>
    <t>Hosting.com</t>
  </si>
  <si>
    <t>99.90%</t>
  </si>
  <si>
    <t>24/7 chat y tickets</t>
  </si>
  <si>
    <t>1–10 min</t>
  </si>
  <si>
    <t>Alta</t>
  </si>
  <si>
    <t>SiteGround</t>
  </si>
  <si>
    <t>99.99%</t>
  </si>
  <si>
    <t>24/7 chat, tickets y teléfono</t>
  </si>
  <si>
    <t>1–5 min</t>
  </si>
  <si>
    <t>Muy Alta</t>
  </si>
  <si>
    <t>GoDaddy</t>
  </si>
  <si>
    <t>24/7 teléfono y chat</t>
  </si>
  <si>
    <t>5–15 min</t>
  </si>
  <si>
    <t>Hostinger</t>
  </si>
  <si>
    <t>24/7 chat (bot + humano)</t>
  </si>
  <si>
    <t>5–30 min</t>
  </si>
  <si>
    <t>Media-Alta</t>
  </si>
  <si>
    <t>Pros</t>
  </si>
  <si>
    <t>Contras</t>
  </si>
  <si>
    <t>Disponibilidad (1-5)</t>
  </si>
  <si>
    <t>Soporte (1-5)</t>
  </si>
  <si>
    <t>Tiempo de respuesta (1-5)</t>
  </si>
  <si>
    <t>Precios (1-5)</t>
  </si>
  <si>
    <t>Puntaje Total</t>
  </si>
  <si>
    <t>Buena disponibilidad, soporte rápido</t>
  </si>
  <si>
    <t>Precio de hosting algo alto</t>
  </si>
  <si>
    <t>Excelente disponibilidad, soporte completo, muy confiable</t>
  </si>
  <si>
    <t>Costos más elevados</t>
  </si>
  <si>
    <t>Buen soporte telefónico, dominio económico</t>
  </si>
  <si>
    <t>Hosting menos optimizado, tiempos variables</t>
  </si>
  <si>
    <t>Precios bajos, buen rendimiento por costo</t>
  </si>
  <si>
    <t>Soporte inicial con bot, respuesta más lenta</t>
  </si>
  <si>
    <t xml:space="preserve">Domain </t>
  </si>
  <si>
    <t xml:space="preserve">Logs, métricas, uptime : Uptime.com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</si>
</sst>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&quot;$&quot;#,###.##000_);[Red]\(&quot;$&quot;#,###.##000\)"/>
    <numFmt numFmtId="165" formatCode="_(&quot;$&quot;* #,##0.00_);_(&quot;$&quot;* \(#,##0.00\);_(&quot;$&quot;* &quot;-&quot;??_);_(@_)"/>
    <numFmt numFmtId="166" formatCode="&quot;$&quot;#,##0_);[Red]\(&quot;$&quot;#,##0\)"/>
    <numFmt numFmtId="167" formatCode="_-[$$-240A]\ * #,##0.00_-;\-[$$-240A]\ * #,##0.00_-;_-[$$-240A]\ * &quot;-&quot;??_-;_-@_-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6" fillId="0" borderId="0">
      <alignment vertical="center"/>
    </xf>
  </cellStyleXfs>
  <cellXfs count="47">
    <xf numFmtId="0" fontId="0" fillId="0" borderId="0" xfId="0"/>
    <xf numFmtId="0" fontId="2" fillId="2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6" fillId="0" borderId="0" xfId="1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3" fillId="7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6" fontId="0" fillId="0" borderId="1" xfId="0" applyNumberForma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65" fontId="0" fillId="3" borderId="1" xfId="0" applyNumberForma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67" fontId="5" fillId="8" borderId="1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CAPEX vs OPEX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D8A-4F8D-A079-709E1B39428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4D8A-4F8D-A079-709E1B39428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MX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'Resumen Ejecutivo'!$A$2:$A$3</c:f>
              <c:strCache>
                <c:ptCount val="2"/>
                <c:pt idx="0">
                  <c:v>CAPEX Total</c:v>
                </c:pt>
                <c:pt idx="1">
                  <c:v>OPEX Total Anual</c:v>
                </c:pt>
              </c:strCache>
            </c:strRef>
          </c:cat>
          <c:val>
            <c:numRef>
              <c:f>'Resumen Ejecutivo'!$B$2:$B$3</c:f>
              <c:numCache>
                <c:formatCode>"$"#,###.##000_);[Red]\("$"#,###.##000\)</c:formatCode>
                <c:ptCount val="2"/>
                <c:pt idx="0">
                  <c:v>33400000</c:v>
                </c:pt>
                <c:pt idx="1">
                  <c:v>3130488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8A-4F8D-A079-709E1B394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Costos Totales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MX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 Ejecutivo'!$A$3:$A$4</c:f>
              <c:strCache>
                <c:ptCount val="2"/>
                <c:pt idx="0">
                  <c:v>OPEX Total Anual</c:v>
                </c:pt>
                <c:pt idx="1">
                  <c:v>Costo total 3 años</c:v>
                </c:pt>
              </c:strCache>
            </c:strRef>
          </c:cat>
          <c:val>
            <c:numRef>
              <c:f>'Resumen Ejecutivo'!$B$3:$B$4</c:f>
              <c:numCache>
                <c:formatCode>"$"#,###.##000_);[Red]\("$"#,###.##000\)</c:formatCode>
                <c:ptCount val="2"/>
                <c:pt idx="0">
                  <c:v>3130488</c:v>
                </c:pt>
                <c:pt idx="1">
                  <c:v>9391464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0-443F-9B19-6F8E48A4F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#,###.##000_);[Red]\(&quot;$&quot;#,###.##0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</xdr:colOff>
      <xdr:row>0</xdr:row>
      <xdr:rowOff>105410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11" sqref="C11"/>
    </sheetView>
  </sheetViews>
  <sheetFormatPr defaultColWidth="9" defaultRowHeight="15"/>
  <cols>
    <col min="1" max="1" width="21" style="7" customWidth="1"/>
    <col min="2" max="2" width="40" style="7" customWidth="1"/>
    <col min="3" max="3" width="55.28515625" style="7" customWidth="1"/>
    <col min="4" max="4" width="9" style="7" customWidth="1"/>
    <col min="5" max="16384" width="9" style="7"/>
  </cols>
  <sheetData>
    <row r="1" spans="1:3">
      <c r="A1" s="38" t="s">
        <v>0</v>
      </c>
      <c r="B1" s="38" t="s">
        <v>1</v>
      </c>
      <c r="C1" s="38" t="s">
        <v>2</v>
      </c>
    </row>
    <row r="2" spans="1:3">
      <c r="A2" s="39" t="s">
        <v>3</v>
      </c>
      <c r="B2" s="6">
        <f>SUM(CAPEX!G13)</f>
        <v>33400000</v>
      </c>
      <c r="C2" s="39"/>
    </row>
    <row r="3" spans="1:3">
      <c r="A3" s="39" t="s">
        <v>4</v>
      </c>
      <c r="B3" s="6">
        <f>SUM(OPEX!E7)</f>
        <v>3130488</v>
      </c>
      <c r="C3" s="39"/>
    </row>
    <row r="4" spans="1:3">
      <c r="A4" s="39" t="s">
        <v>5</v>
      </c>
      <c r="B4" s="6">
        <f>OPEX!F7</f>
        <v>9391464</v>
      </c>
      <c r="C4" s="39"/>
    </row>
    <row r="5" spans="1:3">
      <c r="A5" s="39" t="s">
        <v>6</v>
      </c>
      <c r="B5" s="6">
        <f>OPEX!G7</f>
        <v>15652440</v>
      </c>
      <c r="C5" s="39"/>
    </row>
    <row r="6" spans="1:3">
      <c r="A6" s="39" t="s">
        <v>7</v>
      </c>
      <c r="B6" s="39">
        <f>(B2*0.15)/B4</f>
        <v>0.53346315334861527</v>
      </c>
      <c r="C6" s="39" t="s">
        <v>8</v>
      </c>
    </row>
    <row r="7" spans="1:3">
      <c r="A7" s="11" t="s">
        <v>9</v>
      </c>
      <c r="B7" s="11">
        <f>SUM(B2:B6)</f>
        <v>61574392.53346315</v>
      </c>
      <c r="C7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7"/>
  <sheetViews>
    <sheetView workbookViewId="0">
      <selection activeCell="E15" sqref="E15"/>
    </sheetView>
  </sheetViews>
  <sheetFormatPr defaultColWidth="9" defaultRowHeight="15"/>
  <cols>
    <col min="1" max="1" width="20.42578125" style="12" customWidth="1"/>
    <col min="2" max="2" width="50.28515625" style="12" customWidth="1"/>
    <col min="3" max="3" width="16.28515625" style="12" customWidth="1"/>
    <col min="4" max="4" width="16.28515625" style="13" customWidth="1"/>
    <col min="5" max="5" width="17" style="12" customWidth="1"/>
    <col min="6" max="6" width="15.28515625" style="14" hidden="1" customWidth="1"/>
    <col min="7" max="7" width="16.42578125" style="14" customWidth="1"/>
    <col min="8" max="8" width="16.28515625" style="12" hidden="1" customWidth="1"/>
    <col min="9" max="9" width="50.28515625" style="12" customWidth="1"/>
    <col min="10" max="10" width="9" style="12" customWidth="1"/>
    <col min="11" max="16384" width="9" style="12"/>
  </cols>
  <sheetData>
    <row r="1" spans="1:9">
      <c r="A1" s="15" t="s">
        <v>10</v>
      </c>
      <c r="B1" s="15" t="s">
        <v>11</v>
      </c>
      <c r="C1" s="15" t="s">
        <v>12</v>
      </c>
      <c r="D1" s="16" t="s">
        <v>13</v>
      </c>
      <c r="E1" s="15" t="s">
        <v>14</v>
      </c>
      <c r="F1" s="17" t="s">
        <v>15</v>
      </c>
      <c r="G1" s="17" t="s">
        <v>16</v>
      </c>
      <c r="H1" s="15" t="s">
        <v>17</v>
      </c>
      <c r="I1" s="15" t="s">
        <v>2</v>
      </c>
    </row>
    <row r="2" spans="1:9">
      <c r="A2" s="6" t="s">
        <v>18</v>
      </c>
      <c r="B2" s="6" t="s">
        <v>19</v>
      </c>
      <c r="C2" s="18" t="s">
        <v>20</v>
      </c>
      <c r="D2" s="19">
        <v>20000</v>
      </c>
      <c r="E2" s="18">
        <v>30</v>
      </c>
      <c r="F2" s="8">
        <f>D2*E2</f>
        <v>600000</v>
      </c>
      <c r="G2" s="8">
        <f t="shared" ref="G2:G10" si="0">D2*E2</f>
        <v>600000</v>
      </c>
      <c r="H2" s="18" t="s">
        <v>20</v>
      </c>
      <c r="I2" s="18"/>
    </row>
    <row r="3" spans="1:9">
      <c r="A3" s="6" t="s">
        <v>21</v>
      </c>
      <c r="B3" s="6" t="s">
        <v>22</v>
      </c>
      <c r="C3" s="18" t="s">
        <v>20</v>
      </c>
      <c r="D3" s="19">
        <v>20000</v>
      </c>
      <c r="E3" s="18">
        <v>35</v>
      </c>
      <c r="F3" s="8">
        <v>1700000</v>
      </c>
      <c r="G3" s="8">
        <f t="shared" si="0"/>
        <v>700000</v>
      </c>
      <c r="H3" s="18" t="s">
        <v>20</v>
      </c>
      <c r="I3" s="18"/>
    </row>
    <row r="4" spans="1:9">
      <c r="A4" s="6" t="s">
        <v>23</v>
      </c>
      <c r="B4" s="6" t="s">
        <v>24</v>
      </c>
      <c r="C4" s="18" t="s">
        <v>20</v>
      </c>
      <c r="D4" s="19">
        <v>20000</v>
      </c>
      <c r="E4" s="18">
        <v>35</v>
      </c>
      <c r="F4" s="8">
        <v>2100000</v>
      </c>
      <c r="G4" s="8">
        <f t="shared" si="0"/>
        <v>700000</v>
      </c>
      <c r="H4" s="18" t="s">
        <v>20</v>
      </c>
      <c r="I4" s="18"/>
    </row>
    <row r="5" spans="1:9">
      <c r="A5" s="20" t="s">
        <v>25</v>
      </c>
      <c r="B5" s="20" t="s">
        <v>26</v>
      </c>
      <c r="C5" s="21" t="s">
        <v>20</v>
      </c>
      <c r="D5" s="19">
        <v>20000</v>
      </c>
      <c r="E5" s="21">
        <v>40</v>
      </c>
      <c r="F5" s="22">
        <v>0</v>
      </c>
      <c r="G5" s="22">
        <f t="shared" si="0"/>
        <v>800000</v>
      </c>
      <c r="H5" s="23" t="s">
        <v>20</v>
      </c>
      <c r="I5" s="21"/>
    </row>
    <row r="6" spans="1:9">
      <c r="A6" s="6" t="s">
        <v>27</v>
      </c>
      <c r="B6" s="6" t="s">
        <v>28</v>
      </c>
      <c r="C6" s="18" t="s">
        <v>20</v>
      </c>
      <c r="D6" s="19">
        <v>20000</v>
      </c>
      <c r="E6" s="18">
        <v>38</v>
      </c>
      <c r="F6" s="8">
        <v>2086000</v>
      </c>
      <c r="G6" s="8">
        <f t="shared" si="0"/>
        <v>760000</v>
      </c>
      <c r="H6" s="18" t="s">
        <v>20</v>
      </c>
      <c r="I6" s="18"/>
    </row>
    <row r="7" spans="1:9">
      <c r="A7" s="6" t="s">
        <v>29</v>
      </c>
      <c r="B7" s="6" t="s">
        <v>30</v>
      </c>
      <c r="C7" s="18" t="s">
        <v>20</v>
      </c>
      <c r="D7" s="19">
        <v>20000</v>
      </c>
      <c r="E7" s="18">
        <v>45</v>
      </c>
      <c r="F7" s="6">
        <v>2000000</v>
      </c>
      <c r="G7" s="6">
        <f t="shared" si="0"/>
        <v>900000</v>
      </c>
      <c r="H7" s="18" t="s">
        <v>20</v>
      </c>
      <c r="I7" s="18"/>
    </row>
    <row r="8" spans="1:9">
      <c r="A8" s="6" t="s">
        <v>31</v>
      </c>
      <c r="B8" s="6" t="s">
        <v>32</v>
      </c>
      <c r="C8" s="18" t="s">
        <v>20</v>
      </c>
      <c r="D8" s="19">
        <v>20000</v>
      </c>
      <c r="E8" s="18">
        <v>30</v>
      </c>
      <c r="F8" s="6">
        <v>1200000</v>
      </c>
      <c r="G8" s="6">
        <f t="shared" si="0"/>
        <v>600000</v>
      </c>
      <c r="H8" s="18" t="s">
        <v>20</v>
      </c>
      <c r="I8" s="18"/>
    </row>
    <row r="9" spans="1:9">
      <c r="A9" s="6" t="s">
        <v>33</v>
      </c>
      <c r="B9" s="6" t="s">
        <v>34</v>
      </c>
      <c r="C9" s="18" t="s">
        <v>20</v>
      </c>
      <c r="D9" s="19">
        <v>20000</v>
      </c>
      <c r="E9" s="18">
        <v>30</v>
      </c>
      <c r="F9" s="6">
        <v>1000000</v>
      </c>
      <c r="G9" s="6">
        <f t="shared" si="0"/>
        <v>600000</v>
      </c>
      <c r="H9" s="18" t="s">
        <v>20</v>
      </c>
      <c r="I9" s="18"/>
    </row>
    <row r="10" spans="1:9">
      <c r="A10" s="6" t="s">
        <v>35</v>
      </c>
      <c r="B10" s="6" t="s">
        <v>36</v>
      </c>
      <c r="C10" s="18" t="s">
        <v>20</v>
      </c>
      <c r="D10" s="19">
        <v>20000</v>
      </c>
      <c r="E10" s="18">
        <v>25</v>
      </c>
      <c r="F10" s="6">
        <v>800000</v>
      </c>
      <c r="G10" s="6">
        <f t="shared" si="0"/>
        <v>500000</v>
      </c>
      <c r="H10" s="18" t="s">
        <v>20</v>
      </c>
      <c r="I10" s="18"/>
    </row>
    <row r="11" spans="1:9">
      <c r="A11" s="6" t="s">
        <v>37</v>
      </c>
      <c r="B11" s="6" t="s">
        <v>38</v>
      </c>
      <c r="C11" s="18" t="s">
        <v>20</v>
      </c>
      <c r="D11" s="19">
        <v>20000</v>
      </c>
      <c r="E11" s="18">
        <v>20</v>
      </c>
      <c r="F11" s="6">
        <v>1000000</v>
      </c>
      <c r="G11" s="6">
        <v>1000000</v>
      </c>
      <c r="H11" s="18" t="s">
        <v>20</v>
      </c>
      <c r="I11" s="18"/>
    </row>
    <row r="12" spans="1:9">
      <c r="A12" s="6" t="s">
        <v>39</v>
      </c>
      <c r="B12" s="6" t="s">
        <v>40</v>
      </c>
      <c r="C12" s="18" t="s">
        <v>20</v>
      </c>
      <c r="D12" s="19">
        <v>20000</v>
      </c>
      <c r="E12" s="18">
        <v>328</v>
      </c>
      <c r="F12" s="6"/>
      <c r="G12" s="6">
        <v>26240000</v>
      </c>
      <c r="H12" s="18"/>
      <c r="I12" s="18" t="s">
        <v>41</v>
      </c>
    </row>
    <row r="13" spans="1:9">
      <c r="A13" s="24" t="s">
        <v>42</v>
      </c>
      <c r="B13" s="24"/>
      <c r="C13" s="24"/>
      <c r="D13" s="25"/>
      <c r="E13" s="24"/>
      <c r="F13" s="24"/>
      <c r="G13" s="26">
        <f>SUM(G2:G12)</f>
        <v>33400000</v>
      </c>
      <c r="H13" s="27"/>
      <c r="I13" s="27"/>
    </row>
    <row r="14" spans="1:9">
      <c r="A14" s="7"/>
      <c r="B14" s="7"/>
      <c r="C14" s="7"/>
      <c r="D14" s="28"/>
      <c r="E14" s="7"/>
      <c r="F14" s="7"/>
    </row>
    <row r="15" spans="1:9">
      <c r="A15" s="7"/>
      <c r="B15" s="29"/>
      <c r="C15" s="7"/>
      <c r="D15" s="28"/>
      <c r="E15" s="7"/>
      <c r="F15" s="7"/>
    </row>
    <row r="16" spans="1:9">
      <c r="A16" s="7"/>
      <c r="B16" s="7"/>
      <c r="C16" s="7"/>
      <c r="D16" s="28"/>
      <c r="E16" s="7"/>
      <c r="F16" s="7"/>
    </row>
    <row r="17" spans="1:6">
      <c r="A17" s="7"/>
      <c r="B17" s="7"/>
      <c r="C17" s="7"/>
      <c r="D17" s="28"/>
      <c r="E17" s="7"/>
      <c r="F17" s="7"/>
    </row>
    <row r="18" spans="1:6">
      <c r="A18" s="7"/>
      <c r="B18" s="7"/>
      <c r="C18" s="7"/>
      <c r="D18" s="28"/>
      <c r="E18" s="7"/>
      <c r="F18" s="7"/>
    </row>
    <row r="122" spans="1:4">
      <c r="A122" s="30"/>
      <c r="B122" s="31" t="s">
        <v>29</v>
      </c>
      <c r="C122" s="31"/>
      <c r="D122" s="32"/>
    </row>
    <row r="123" spans="1:4">
      <c r="A123" s="33" t="s">
        <v>43</v>
      </c>
      <c r="B123" s="33" t="s">
        <v>44</v>
      </c>
      <c r="C123" s="33" t="s">
        <v>45</v>
      </c>
      <c r="D123" s="33" t="s">
        <v>46</v>
      </c>
    </row>
    <row r="124" spans="1:4">
      <c r="A124" s="34" t="s">
        <v>47</v>
      </c>
      <c r="B124" s="34" t="s">
        <v>48</v>
      </c>
      <c r="C124" s="35">
        <v>55000</v>
      </c>
      <c r="D124" s="36">
        <v>1100000</v>
      </c>
    </row>
    <row r="125" spans="1:4" ht="30" customHeight="1">
      <c r="A125" s="34" t="s">
        <v>49</v>
      </c>
      <c r="B125" s="34" t="s">
        <v>48</v>
      </c>
      <c r="C125" s="35">
        <v>55000</v>
      </c>
      <c r="D125" s="36">
        <v>1100000</v>
      </c>
    </row>
    <row r="126" spans="1:4">
      <c r="A126" s="34" t="s">
        <v>50</v>
      </c>
      <c r="B126" s="34" t="s">
        <v>51</v>
      </c>
      <c r="C126" s="35">
        <v>55000</v>
      </c>
      <c r="D126" s="36">
        <v>550000</v>
      </c>
    </row>
    <row r="127" spans="1:4">
      <c r="A127" s="27" t="s">
        <v>52</v>
      </c>
      <c r="B127" s="27"/>
      <c r="C127" s="27"/>
      <c r="D127" s="37">
        <f>D126+D125+D124</f>
        <v>2750000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tabSelected="1" workbookViewId="0">
      <selection activeCell="B7" sqref="B7"/>
    </sheetView>
  </sheetViews>
  <sheetFormatPr defaultColWidth="9" defaultRowHeight="15"/>
  <cols>
    <col min="1" max="1" width="14.28515625" style="2" customWidth="1"/>
    <col min="2" max="2" width="63.5703125" style="2" customWidth="1"/>
    <col min="3" max="3" width="15" style="3" customWidth="1"/>
    <col min="4" max="4" width="25.85546875" style="3" customWidth="1"/>
    <col min="5" max="5" width="15.28515625" style="3" customWidth="1"/>
    <col min="6" max="6" width="16.42578125" style="3" customWidth="1"/>
    <col min="7" max="7" width="17.5703125" style="3" customWidth="1"/>
    <col min="8" max="8" width="16" style="2" customWidth="1"/>
    <col min="9" max="11" width="9" style="2" customWidth="1"/>
    <col min="12" max="12" width="72.85546875" style="3" customWidth="1"/>
    <col min="13" max="13" width="14.28515625" style="2" customWidth="1"/>
    <col min="14" max="14" width="9" style="2" customWidth="1"/>
    <col min="15" max="16384" width="9" style="2"/>
  </cols>
  <sheetData>
    <row r="1" spans="1:8">
      <c r="A1" s="4" t="s">
        <v>10</v>
      </c>
      <c r="B1" s="4" t="s">
        <v>11</v>
      </c>
      <c r="C1" s="5" t="s">
        <v>53</v>
      </c>
      <c r="D1" s="5" t="s">
        <v>15</v>
      </c>
      <c r="E1" s="5" t="s">
        <v>54</v>
      </c>
      <c r="F1" s="5" t="s">
        <v>55</v>
      </c>
      <c r="G1" s="5" t="s">
        <v>56</v>
      </c>
      <c r="H1" s="4" t="s">
        <v>2</v>
      </c>
    </row>
    <row r="2" spans="1:8">
      <c r="A2" s="6" t="s">
        <v>57</v>
      </c>
      <c r="B2" s="7" t="s">
        <v>80</v>
      </c>
      <c r="C2" s="8" t="s">
        <v>20</v>
      </c>
      <c r="D2" s="6">
        <v>25000</v>
      </c>
      <c r="E2" s="6">
        <f>D2*12</f>
        <v>300000</v>
      </c>
      <c r="F2" s="6">
        <f>D2*36</f>
        <v>900000</v>
      </c>
      <c r="G2" s="6">
        <f>D2*60</f>
        <v>1500000</v>
      </c>
      <c r="H2" s="9"/>
    </row>
    <row r="3" spans="1:8">
      <c r="A3" s="6" t="s">
        <v>58</v>
      </c>
      <c r="B3" s="6" t="s">
        <v>107</v>
      </c>
      <c r="C3" s="8" t="s">
        <v>20</v>
      </c>
      <c r="D3" s="6">
        <v>61000</v>
      </c>
      <c r="E3" s="6">
        <f>D3*12</f>
        <v>732000</v>
      </c>
      <c r="F3" s="6">
        <f>D3*36</f>
        <v>2196000</v>
      </c>
      <c r="G3" s="6">
        <f>D3*60</f>
        <v>3660000</v>
      </c>
      <c r="H3" s="9"/>
    </row>
    <row r="4" spans="1:8">
      <c r="A4" s="6" t="s">
        <v>59</v>
      </c>
      <c r="B4" s="6" t="s">
        <v>60</v>
      </c>
      <c r="C4" s="8" t="s">
        <v>20</v>
      </c>
      <c r="D4" s="6">
        <v>46000</v>
      </c>
      <c r="E4" s="6">
        <f>D4*12</f>
        <v>552000</v>
      </c>
      <c r="F4" s="6">
        <f>D4*36</f>
        <v>1656000</v>
      </c>
      <c r="G4" s="6">
        <f>D4*60</f>
        <v>2760000</v>
      </c>
      <c r="H4" s="9"/>
    </row>
    <row r="5" spans="1:8">
      <c r="A5" s="6" t="s">
        <v>61</v>
      </c>
      <c r="B5" s="7" t="s">
        <v>62</v>
      </c>
      <c r="C5" s="8" t="s">
        <v>20</v>
      </c>
      <c r="D5" s="6">
        <v>95000</v>
      </c>
      <c r="E5" s="6">
        <f>D5*12</f>
        <v>1140000</v>
      </c>
      <c r="F5" s="6">
        <f>D5*36</f>
        <v>3420000</v>
      </c>
      <c r="G5" s="6">
        <f>D5*60</f>
        <v>5700000</v>
      </c>
      <c r="H5" s="9"/>
    </row>
    <row r="6" spans="1:8">
      <c r="A6" s="6" t="s">
        <v>63</v>
      </c>
      <c r="B6" s="6" t="s">
        <v>108</v>
      </c>
      <c r="C6" s="8" t="s">
        <v>20</v>
      </c>
      <c r="D6" s="6">
        <v>33874</v>
      </c>
      <c r="E6" s="6">
        <f>D6*12</f>
        <v>406488</v>
      </c>
      <c r="F6" s="6">
        <f>D6*36</f>
        <v>1219464</v>
      </c>
      <c r="G6" s="6">
        <f>D6*60</f>
        <v>2032440</v>
      </c>
      <c r="H6" s="9"/>
    </row>
    <row r="7" spans="1:8">
      <c r="A7" s="10" t="s">
        <v>52</v>
      </c>
      <c r="B7" s="10"/>
      <c r="C7" s="11"/>
      <c r="D7" s="11"/>
      <c r="E7" s="11">
        <f>E6+E5+E4+E3+E2</f>
        <v>3130488</v>
      </c>
      <c r="F7" s="11">
        <f>F6+F5+F4+F3+F2</f>
        <v>9391464</v>
      </c>
      <c r="G7" s="11">
        <f>G6+G5+G4+G3+G2</f>
        <v>15652440</v>
      </c>
      <c r="H7" s="10"/>
    </row>
    <row r="15" spans="1:8">
      <c r="B15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selection activeCell="B6" sqref="B6"/>
    </sheetView>
  </sheetViews>
  <sheetFormatPr defaultColWidth="9" defaultRowHeight="15"/>
  <cols>
    <col min="1" max="1" width="16" customWidth="1"/>
    <col min="2" max="2" width="6" customWidth="1"/>
    <col min="3" max="3" width="9" customWidth="1"/>
    <col min="4" max="4" width="19" customWidth="1"/>
    <col min="5" max="5" width="17" customWidth="1"/>
    <col min="6" max="6" width="16" customWidth="1"/>
    <col min="7" max="7" width="14" customWidth="1"/>
    <col min="8" max="8" width="15" customWidth="1"/>
  </cols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15</v>
      </c>
      <c r="F1" s="1" t="s">
        <v>68</v>
      </c>
      <c r="G1" s="1" t="s">
        <v>54</v>
      </c>
      <c r="H1" s="1" t="s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J13" sqref="J13"/>
    </sheetView>
  </sheetViews>
  <sheetFormatPr defaultColWidth="9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F13" sqref="F13"/>
    </sheetView>
  </sheetViews>
  <sheetFormatPr defaultColWidth="9.140625" defaultRowHeight="15"/>
  <cols>
    <col min="1" max="1" width="12" style="7" bestFit="1" customWidth="1"/>
    <col min="2" max="2" width="17.42578125" style="7" bestFit="1" customWidth="1"/>
    <col min="3" max="3" width="25.7109375" style="7" bestFit="1" customWidth="1"/>
    <col min="4" max="4" width="9.42578125" style="7" customWidth="1"/>
    <col min="5" max="5" width="25.5703125" style="43" bestFit="1" customWidth="1"/>
    <col min="6" max="6" width="24.7109375" style="43" bestFit="1" customWidth="1"/>
    <col min="7" max="7" width="18.42578125" style="7" bestFit="1" customWidth="1"/>
    <col min="8" max="16384" width="9.140625" style="7"/>
  </cols>
  <sheetData>
    <row r="1" spans="1:7">
      <c r="A1" s="40" t="s">
        <v>12</v>
      </c>
      <c r="B1" s="40" t="s">
        <v>69</v>
      </c>
      <c r="C1" s="40" t="s">
        <v>70</v>
      </c>
      <c r="D1" s="40" t="s">
        <v>71</v>
      </c>
      <c r="E1" s="41" t="s">
        <v>72</v>
      </c>
      <c r="F1" s="41" t="s">
        <v>73</v>
      </c>
      <c r="G1" s="40" t="s">
        <v>74</v>
      </c>
    </row>
    <row r="2" spans="1:7">
      <c r="A2" s="39" t="s">
        <v>75</v>
      </c>
      <c r="B2" s="39" t="s">
        <v>76</v>
      </c>
      <c r="C2" s="39" t="s">
        <v>77</v>
      </c>
      <c r="D2" s="39" t="s">
        <v>78</v>
      </c>
      <c r="E2" s="42">
        <v>45000</v>
      </c>
      <c r="F2" s="42">
        <v>250000</v>
      </c>
      <c r="G2" s="39" t="s">
        <v>79</v>
      </c>
    </row>
    <row r="3" spans="1:7">
      <c r="A3" s="39" t="s">
        <v>80</v>
      </c>
      <c r="B3" s="39" t="s">
        <v>81</v>
      </c>
      <c r="C3" s="39" t="s">
        <v>82</v>
      </c>
      <c r="D3" s="39" t="s">
        <v>83</v>
      </c>
      <c r="E3" s="42">
        <v>55000</v>
      </c>
      <c r="F3" s="42">
        <v>420000</v>
      </c>
      <c r="G3" s="39" t="s">
        <v>84</v>
      </c>
    </row>
    <row r="4" spans="1:7">
      <c r="A4" s="39" t="s">
        <v>85</v>
      </c>
      <c r="B4" s="39" t="s">
        <v>76</v>
      </c>
      <c r="C4" s="39" t="s">
        <v>86</v>
      </c>
      <c r="D4" s="39" t="s">
        <v>87</v>
      </c>
      <c r="E4" s="42">
        <v>40000</v>
      </c>
      <c r="F4" s="42">
        <v>300000</v>
      </c>
      <c r="G4" s="39" t="s">
        <v>79</v>
      </c>
    </row>
    <row r="5" spans="1:7">
      <c r="A5" s="39" t="s">
        <v>88</v>
      </c>
      <c r="B5" s="39" t="s">
        <v>76</v>
      </c>
      <c r="C5" s="39" t="s">
        <v>89</v>
      </c>
      <c r="D5" s="39" t="s">
        <v>90</v>
      </c>
      <c r="E5" s="42">
        <v>38000</v>
      </c>
      <c r="F5" s="42">
        <v>200000</v>
      </c>
      <c r="G5" s="39" t="s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>
      <selection activeCell="F11" sqref="F11"/>
    </sheetView>
  </sheetViews>
  <sheetFormatPr defaultColWidth="9.140625" defaultRowHeight="15"/>
  <cols>
    <col min="1" max="1" width="12" bestFit="1" customWidth="1"/>
    <col min="2" max="2" width="54.28515625" bestFit="1" customWidth="1"/>
    <col min="3" max="3" width="42.140625" bestFit="1" customWidth="1"/>
    <col min="4" max="4" width="18.5703125" bestFit="1" customWidth="1"/>
    <col min="5" max="5" width="12.5703125" bestFit="1" customWidth="1"/>
    <col min="6" max="6" width="24.42578125" bestFit="1" customWidth="1"/>
    <col min="7" max="7" width="12" bestFit="1" customWidth="1"/>
    <col min="8" max="8" width="12.7109375" bestFit="1" customWidth="1"/>
  </cols>
  <sheetData>
    <row r="1" spans="1:8">
      <c r="A1" s="40" t="s">
        <v>12</v>
      </c>
      <c r="B1" s="40" t="s">
        <v>92</v>
      </c>
      <c r="C1" s="40" t="s">
        <v>93</v>
      </c>
      <c r="D1" s="40" t="s">
        <v>94</v>
      </c>
      <c r="E1" s="40" t="s">
        <v>95</v>
      </c>
      <c r="F1" s="40" t="s">
        <v>96</v>
      </c>
      <c r="G1" s="40" t="s">
        <v>97</v>
      </c>
      <c r="H1" s="46" t="s">
        <v>98</v>
      </c>
    </row>
    <row r="2" spans="1:8">
      <c r="A2" s="44" t="s">
        <v>75</v>
      </c>
      <c r="B2" s="44" t="s">
        <v>99</v>
      </c>
      <c r="C2" s="44" t="s">
        <v>100</v>
      </c>
      <c r="D2" s="44">
        <v>4</v>
      </c>
      <c r="E2" s="44">
        <v>4</v>
      </c>
      <c r="F2" s="44">
        <v>4</v>
      </c>
      <c r="G2" s="44">
        <v>3</v>
      </c>
      <c r="H2" s="44">
        <v>15</v>
      </c>
    </row>
    <row r="3" spans="1:8">
      <c r="A3" s="44" t="s">
        <v>80</v>
      </c>
      <c r="B3" s="44" t="s">
        <v>101</v>
      </c>
      <c r="C3" s="44" t="s">
        <v>102</v>
      </c>
      <c r="D3" s="44">
        <v>5</v>
      </c>
      <c r="E3" s="44">
        <v>5</v>
      </c>
      <c r="F3" s="44">
        <v>5</v>
      </c>
      <c r="G3" s="44">
        <v>3</v>
      </c>
      <c r="H3" s="44">
        <v>18</v>
      </c>
    </row>
    <row r="4" spans="1:8">
      <c r="A4" s="44" t="s">
        <v>85</v>
      </c>
      <c r="B4" s="44" t="s">
        <v>103</v>
      </c>
      <c r="C4" s="44" t="s">
        <v>104</v>
      </c>
      <c r="D4" s="44">
        <v>4</v>
      </c>
      <c r="E4" s="44">
        <v>4</v>
      </c>
      <c r="F4" s="44">
        <v>3</v>
      </c>
      <c r="G4" s="44">
        <v>4</v>
      </c>
      <c r="H4" s="44">
        <v>15</v>
      </c>
    </row>
    <row r="5" spans="1:8">
      <c r="A5" s="44" t="s">
        <v>88</v>
      </c>
      <c r="B5" s="44" t="s">
        <v>105</v>
      </c>
      <c r="C5" s="44" t="s">
        <v>106</v>
      </c>
      <c r="D5" s="44">
        <v>4</v>
      </c>
      <c r="E5" s="44">
        <v>3</v>
      </c>
      <c r="F5" s="44">
        <v>3</v>
      </c>
      <c r="G5" s="44">
        <v>5</v>
      </c>
      <c r="H5" s="44">
        <v>15</v>
      </c>
    </row>
    <row r="6" spans="1:8">
      <c r="A6" s="4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Ejecutivo</vt:lpstr>
      <vt:lpstr>CAPEX</vt:lpstr>
      <vt:lpstr>OPEX</vt:lpstr>
      <vt:lpstr>Cloud</vt:lpstr>
      <vt:lpstr>Graficos</vt:lpstr>
      <vt:lpstr>Matriz_Calificacion</vt:lpstr>
      <vt:lpstr>Ranking_Proveedores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Rider hck</cp:lastModifiedBy>
  <dcterms:created xsi:type="dcterms:W3CDTF">2025-11-15T00:32:00Z</dcterms:created>
  <dcterms:modified xsi:type="dcterms:W3CDTF">2025-12-17T03:10:27Z</dcterms:modified>
</cp:coreProperties>
</file>