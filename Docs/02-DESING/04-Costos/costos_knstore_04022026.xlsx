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Sena\Downloads\"/>
    </mc:Choice>
  </mc:AlternateContent>
  <bookViews>
    <workbookView xWindow="0" yWindow="0" windowWidth="21570" windowHeight="7995" activeTab="2"/>
  </bookViews>
  <sheets>
    <sheet name="Resumen Ejecutivo" sheetId="1" r:id="rId1"/>
    <sheet name="CAPEX" sheetId="2" r:id="rId2"/>
    <sheet name="OPEX" sheetId="3" r:id="rId3"/>
    <sheet name="Cloud" sheetId="4" state="hidden" r:id="rId4"/>
    <sheet name="Graficos" sheetId="8" r:id="rId5"/>
    <sheet name="Riesgos" sheetId="9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2" i="1"/>
  <c r="B3" i="1"/>
  <c r="E7" i="3"/>
  <c r="E6" i="3"/>
  <c r="E5" i="3"/>
  <c r="E4" i="3"/>
  <c r="E3" i="3"/>
  <c r="E2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  <c r="H2" i="3"/>
  <c r="G2" i="3"/>
  <c r="F2" i="3"/>
  <c r="D126" i="2"/>
  <c r="G10" i="2"/>
  <c r="G9" i="2"/>
  <c r="G8" i="2"/>
  <c r="G7" i="2"/>
  <c r="G6" i="2"/>
  <c r="G5" i="2"/>
  <c r="G4" i="2"/>
  <c r="G3" i="2"/>
  <c r="G2" i="2"/>
  <c r="F2" i="2"/>
  <c r="B6" i="1"/>
  <c r="B5" i="1"/>
  <c r="B4" i="1"/>
</calcChain>
</file>

<file path=xl/sharedStrings.xml><?xml version="1.0" encoding="utf-8"?>
<sst xmlns="http://schemas.openxmlformats.org/spreadsheetml/2006/main" count="108" uniqueCount="72">
  <si>
    <t>Indicador</t>
  </si>
  <si>
    <t>Valor</t>
  </si>
  <si>
    <t>Observaciones</t>
  </si>
  <si>
    <t>CAPEX Total</t>
  </si>
  <si>
    <t>OPEX Total Anual</t>
  </si>
  <si>
    <t>Costo total 3 años</t>
  </si>
  <si>
    <t>Costo total 5 años</t>
  </si>
  <si>
    <t>TOTAL</t>
  </si>
  <si>
    <t/>
  </si>
  <si>
    <t>Categoría</t>
  </si>
  <si>
    <t>Descripción</t>
  </si>
  <si>
    <t>Proveedor</t>
  </si>
  <si>
    <t>Costo por hora</t>
  </si>
  <si>
    <t xml:space="preserve"> Horas Estimadas</t>
  </si>
  <si>
    <t>Costo unitario</t>
  </si>
  <si>
    <t>Costo total</t>
  </si>
  <si>
    <t>Responsable</t>
  </si>
  <si>
    <t>API REST</t>
  </si>
  <si>
    <t>Endpoints CRUD para productos, usuarios, pedidos</t>
  </si>
  <si>
    <t>Desarrolladores</t>
  </si>
  <si>
    <t>Base de Datos</t>
  </si>
  <si>
    <t>Modelado, consultas, normalización</t>
  </si>
  <si>
    <t>Seguridad</t>
  </si>
  <si>
    <t>Tokens, encriptación, permisos</t>
  </si>
  <si>
    <t>Integraciones</t>
  </si>
  <si>
    <t>Pasarela de pagos, notificaciones</t>
  </si>
  <si>
    <t>Panel Admin</t>
  </si>
  <si>
    <t>Gestión de inventario, pedidos, usuarios</t>
  </si>
  <si>
    <t>Diseño UI/UX</t>
  </si>
  <si>
    <t>Wireframes, mockups, experiencia de usuario</t>
  </si>
  <si>
    <t>Catálogo Interactivo</t>
  </si>
  <si>
    <t>Filtros, paginación, vista detallada</t>
  </si>
  <si>
    <t>Carrito de Compras</t>
  </si>
  <si>
    <t>Flujo de compra completo</t>
  </si>
  <si>
    <t>Checkout Seguro</t>
  </si>
  <si>
    <t>Formulario, validaciones, integración pasarela</t>
  </si>
  <si>
    <t>Responsive Design</t>
  </si>
  <si>
    <t>Adaptación móvil, tablet, desktop</t>
  </si>
  <si>
    <t>Nomina</t>
  </si>
  <si>
    <t>Nomina del personal del desarrollo</t>
  </si>
  <si>
    <t>El valor 328 es el resultado de la suma de horas totales</t>
  </si>
  <si>
    <t>Actividad</t>
  </si>
  <si>
    <t>Horas</t>
  </si>
  <si>
    <t>Tarifa</t>
  </si>
  <si>
    <t>Costo</t>
  </si>
  <si>
    <t>Wireframes</t>
  </si>
  <si>
    <t>20 h</t>
  </si>
  <si>
    <t>Mockups Alta Fidelidad</t>
  </si>
  <si>
    <t>Prototipo Navegable</t>
  </si>
  <si>
    <t>10 h</t>
  </si>
  <si>
    <t>Total</t>
  </si>
  <si>
    <t>Periodicidad</t>
  </si>
  <si>
    <t>Costo anual</t>
  </si>
  <si>
    <t>Costo 3 años</t>
  </si>
  <si>
    <t>Costo 5 años</t>
  </si>
  <si>
    <t>Hosting Cloud</t>
  </si>
  <si>
    <t>Dominio</t>
  </si>
  <si>
    <t>SSL</t>
  </si>
  <si>
    <t>Certificado de seguridad</t>
  </si>
  <si>
    <t>CDN</t>
  </si>
  <si>
    <t>Cloudflare</t>
  </si>
  <si>
    <t>Monitoreo</t>
  </si>
  <si>
    <t>Logs, métricas, uptime : Uptime.com / ServiceUptime /Pingdom</t>
  </si>
  <si>
    <t>Recurso Cloud</t>
  </si>
  <si>
    <t>SKU</t>
  </si>
  <si>
    <t>Unidad</t>
  </si>
  <si>
    <t>Consumo estimado</t>
  </si>
  <si>
    <t>Costo mensual</t>
  </si>
  <si>
    <t>Hostinger</t>
  </si>
  <si>
    <t xml:space="preserve"> Hostinger </t>
  </si>
  <si>
    <t>Costos 3 meses</t>
  </si>
  <si>
    <t>Costos 3 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</si>
</sst>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[Red]\(&quot;$&quot;#,##0\)"/>
    <numFmt numFmtId="166" formatCode="_(&quot;$&quot;* #,##0.00_);_(&quot;$&quot;* \(#,##0.00\);_(&quot;$&quot;* &quot;-&quot;??_);_(@_)"/>
    <numFmt numFmtId="169" formatCode="&quot;$&quot;#,###.##000_);[Red]\(&quot;$&quot;#,###.##000\)"/>
    <numFmt numFmtId="175" formatCode="&quot;$&quot;\ #,##0"/>
  </numFmts>
  <fonts count="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6" fontId="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9" fontId="0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9" fontId="1" fillId="4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0" borderId="0" xfId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69" fontId="0" fillId="3" borderId="1" xfId="0" applyNumberFormat="1" applyFont="1" applyFill="1" applyBorder="1" applyAlignment="1">
      <alignment horizontal="center"/>
    </xf>
    <xf numFmtId="175" fontId="1" fillId="2" borderId="0" xfId="0" applyNumberFormat="1" applyFont="1" applyFill="1" applyAlignment="1">
      <alignment horizontal="center"/>
    </xf>
    <xf numFmtId="175" fontId="0" fillId="0" borderId="1" xfId="0" applyNumberFormat="1" applyFont="1" applyFill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5" fontId="0" fillId="3" borderId="1" xfId="0" applyNumberFormat="1" applyFill="1" applyBorder="1" applyAlignment="1">
      <alignment horizontal="center"/>
    </xf>
    <xf numFmtId="175" fontId="0" fillId="0" borderId="0" xfId="0" applyNumberFormat="1"/>
    <xf numFmtId="175" fontId="0" fillId="0" borderId="0" xfId="0" applyNumberFormat="1" applyAlignment="1">
      <alignment horizontal="center"/>
    </xf>
    <xf numFmtId="175" fontId="1" fillId="4" borderId="0" xfId="0" applyNumberFormat="1" applyFont="1" applyFill="1" applyAlignment="1">
      <alignment horizontal="center"/>
    </xf>
    <xf numFmtId="175" fontId="0" fillId="3" borderId="1" xfId="0" applyNumberFormat="1" applyFont="1" applyFill="1" applyBorder="1" applyAlignment="1">
      <alignment horizontal="center"/>
    </xf>
    <xf numFmtId="175" fontId="1" fillId="4" borderId="0" xfId="0" applyNumberFormat="1" applyFont="1" applyFill="1" applyAlignment="1">
      <alignment horizontal="center" vertical="center"/>
    </xf>
    <xf numFmtId="175" fontId="0" fillId="0" borderId="1" xfId="0" applyNumberFormat="1" applyBorder="1" applyAlignment="1">
      <alignment horizontal="center" vertical="center"/>
    </xf>
    <xf numFmtId="175" fontId="0" fillId="5" borderId="1" xfId="0" applyNumberFormat="1" applyFill="1" applyBorder="1" applyAlignment="1">
      <alignment horizontal="center" vertical="center"/>
    </xf>
    <xf numFmtId="175" fontId="4" fillId="8" borderId="1" xfId="2" applyNumberFormat="1" applyBorder="1" applyAlignment="1">
      <alignment horizontal="center"/>
    </xf>
    <xf numFmtId="175" fontId="0" fillId="0" borderId="0" xfId="0" applyNumberFormat="1" applyAlignment="1">
      <alignment horizontal="center" vertical="center"/>
    </xf>
    <xf numFmtId="175" fontId="0" fillId="0" borderId="4" xfId="0" applyNumberFormat="1" applyBorder="1" applyAlignment="1">
      <alignment horizontal="center" vertical="center"/>
    </xf>
    <xf numFmtId="175" fontId="2" fillId="7" borderId="1" xfId="0" applyNumberFormat="1" applyFont="1" applyFill="1" applyBorder="1" applyAlignment="1">
      <alignment horizontal="center" wrapText="1"/>
    </xf>
    <xf numFmtId="175" fontId="3" fillId="0" borderId="1" xfId="0" applyNumberFormat="1" applyFont="1" applyBorder="1" applyAlignment="1">
      <alignment horizontal="center" wrapText="1"/>
    </xf>
    <xf numFmtId="175" fontId="0" fillId="3" borderId="1" xfId="0" applyNumberFormat="1" applyFill="1" applyBorder="1" applyAlignment="1">
      <alignment horizontal="center" vertical="center"/>
    </xf>
  </cellXfs>
  <cellStyles count="3">
    <cellStyle name="Bueno" xfId="2" builtinId="26"/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CAPEX vs OPEX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577-460C-A6D1-247341A9B8E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8577-460C-A6D1-247341A9B8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'Resumen Ejecutivo'!$A$2:$A$4</c:f>
              <c:strCache>
                <c:ptCount val="3"/>
                <c:pt idx="0">
                  <c:v>CAPEX Total</c:v>
                </c:pt>
                <c:pt idx="1">
                  <c:v>Costos 3 meses</c:v>
                </c:pt>
                <c:pt idx="2">
                  <c:v>OPEX Total Anual</c:v>
                </c:pt>
              </c:strCache>
            </c:strRef>
          </c:cat>
          <c:val>
            <c:numRef>
              <c:f>'Resumen Ejecutivo'!$B$2:$B$4</c:f>
              <c:numCache>
                <c:formatCode>"$"\ #,##0</c:formatCode>
                <c:ptCount val="3"/>
                <c:pt idx="0">
                  <c:v>26240000</c:v>
                </c:pt>
                <c:pt idx="1">
                  <c:v>782622</c:v>
                </c:pt>
                <c:pt idx="2">
                  <c:v>3130488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77-460C-A6D1-247341A9B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e97c82-56e7-4b7c-8709-9f3024c2a2f7}"/>
      </c:ext>
    </c:extLst>
  </c:chart>
  <c:txPr>
    <a:bodyPr/>
    <a:lstStyle/>
    <a:p>
      <a:pPr>
        <a:defRPr lang="es-MX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 Totales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'Resumen Ejecutivo'!$A$4:$A$5</c:f>
              <c:strCache>
                <c:ptCount val="2"/>
                <c:pt idx="0">
                  <c:v>OPEX Total Anual</c:v>
                </c:pt>
                <c:pt idx="1">
                  <c:v>Costo total 3 años</c:v>
                </c:pt>
              </c:strCache>
            </c:strRef>
          </c:cat>
          <c:val>
            <c:numRef>
              <c:f>'Resumen Ejecutivo'!$B$4:$B$5</c:f>
              <c:numCache>
                <c:formatCode>"$"\ #,##0</c:formatCode>
                <c:ptCount val="2"/>
                <c:pt idx="0">
                  <c:v>3130488</c:v>
                </c:pt>
                <c:pt idx="1">
                  <c:v>9391464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0-4524-B7A3-BB0CCA74F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\ 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69aeda-3d64-4878-a8ee-5ef5ed02aef6}"/>
      </c:ext>
    </c:extLst>
  </c:chart>
  <c:txPr>
    <a:bodyPr/>
    <a:lstStyle/>
    <a:p>
      <a:pPr>
        <a:defRPr lang="es-MX"/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</xdr:colOff>
      <xdr:row>0</xdr:row>
      <xdr:rowOff>105410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9" sqref="B9"/>
    </sheetView>
  </sheetViews>
  <sheetFormatPr baseColWidth="10" defaultColWidth="9" defaultRowHeight="15"/>
  <cols>
    <col min="1" max="1" width="21" style="7" customWidth="1"/>
    <col min="2" max="2" width="40" style="37" customWidth="1"/>
    <col min="3" max="3" width="55.28515625" style="7" customWidth="1"/>
    <col min="4" max="16384" width="9" style="7"/>
  </cols>
  <sheetData>
    <row r="1" spans="1:3">
      <c r="A1" s="29" t="s">
        <v>0</v>
      </c>
      <c r="B1" s="38" t="s">
        <v>1</v>
      </c>
      <c r="C1" s="29" t="s">
        <v>2</v>
      </c>
    </row>
    <row r="2" spans="1:3">
      <c r="A2" s="30" t="s">
        <v>3</v>
      </c>
      <c r="B2" s="34">
        <f>CAPEX!G12</f>
        <v>26240000</v>
      </c>
      <c r="C2" s="30"/>
    </row>
    <row r="3" spans="1:3">
      <c r="A3" s="30" t="s">
        <v>70</v>
      </c>
      <c r="B3" s="34">
        <f>OPEX!E7</f>
        <v>782622</v>
      </c>
      <c r="C3" s="30"/>
    </row>
    <row r="4" spans="1:3">
      <c r="A4" s="30" t="s">
        <v>4</v>
      </c>
      <c r="B4" s="34">
        <f>SUM(OPEX!F7)</f>
        <v>3130488</v>
      </c>
      <c r="C4" s="30"/>
    </row>
    <row r="5" spans="1:3">
      <c r="A5" s="30" t="s">
        <v>5</v>
      </c>
      <c r="B5" s="34">
        <f>OPEX!G7</f>
        <v>9391464</v>
      </c>
      <c r="C5" s="30"/>
    </row>
    <row r="6" spans="1:3">
      <c r="A6" s="30" t="s">
        <v>6</v>
      </c>
      <c r="B6" s="34">
        <f>OPEX!H7</f>
        <v>15652440</v>
      </c>
      <c r="C6" s="30"/>
    </row>
    <row r="7" spans="1:3">
      <c r="A7" s="30"/>
      <c r="B7" s="34"/>
      <c r="C7" s="30"/>
    </row>
    <row r="8" spans="1:3">
      <c r="A8" s="31" t="s">
        <v>7</v>
      </c>
      <c r="B8" s="39">
        <f>SUM(B2:B7)</f>
        <v>55197014</v>
      </c>
      <c r="C8" s="3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selection activeCell="I25" sqref="I25"/>
    </sheetView>
  </sheetViews>
  <sheetFormatPr baseColWidth="10" defaultColWidth="9" defaultRowHeight="15"/>
  <cols>
    <col min="1" max="1" width="20.42578125" style="12" customWidth="1"/>
    <col min="2" max="2" width="50.28515625" style="12" customWidth="1"/>
    <col min="3" max="3" width="16.28515625" style="12" customWidth="1"/>
    <col min="4" max="4" width="16.28515625" style="44" customWidth="1"/>
    <col min="5" max="5" width="17" style="12" customWidth="1"/>
    <col min="6" max="6" width="15.28515625" style="13" hidden="1" customWidth="1"/>
    <col min="7" max="7" width="16.42578125" style="44" customWidth="1"/>
    <col min="8" max="8" width="16.28515625" style="12" hidden="1" customWidth="1"/>
    <col min="9" max="9" width="50.28515625" style="12" customWidth="1"/>
    <col min="10" max="16384" width="9" style="12"/>
  </cols>
  <sheetData>
    <row r="1" spans="1:9">
      <c r="A1" s="14" t="s">
        <v>9</v>
      </c>
      <c r="B1" s="14" t="s">
        <v>10</v>
      </c>
      <c r="C1" s="14" t="s">
        <v>11</v>
      </c>
      <c r="D1" s="40" t="s">
        <v>12</v>
      </c>
      <c r="E1" s="14" t="s">
        <v>13</v>
      </c>
      <c r="F1" s="15" t="s">
        <v>14</v>
      </c>
      <c r="G1" s="40" t="s">
        <v>15</v>
      </c>
      <c r="H1" s="14" t="s">
        <v>16</v>
      </c>
      <c r="I1" s="14" t="s">
        <v>2</v>
      </c>
    </row>
    <row r="2" spans="1:9">
      <c r="A2" s="6" t="s">
        <v>17</v>
      </c>
      <c r="B2" s="6" t="s">
        <v>18</v>
      </c>
      <c r="C2" s="16" t="s">
        <v>19</v>
      </c>
      <c r="D2" s="41">
        <v>20000</v>
      </c>
      <c r="E2" s="16">
        <v>30</v>
      </c>
      <c r="F2" s="17">
        <f>D2*E2</f>
        <v>600000</v>
      </c>
      <c r="G2" s="41">
        <f t="shared" ref="G2:G10" si="0">D2*E2</f>
        <v>600000</v>
      </c>
      <c r="H2" s="16" t="s">
        <v>19</v>
      </c>
      <c r="I2" s="16"/>
    </row>
    <row r="3" spans="1:9">
      <c r="A3" s="6" t="s">
        <v>20</v>
      </c>
      <c r="B3" s="6" t="s">
        <v>21</v>
      </c>
      <c r="C3" s="16" t="s">
        <v>19</v>
      </c>
      <c r="D3" s="41">
        <v>20000</v>
      </c>
      <c r="E3" s="16">
        <v>35</v>
      </c>
      <c r="F3" s="17">
        <v>1700000</v>
      </c>
      <c r="G3" s="41">
        <f t="shared" si="0"/>
        <v>700000</v>
      </c>
      <c r="H3" s="16" t="s">
        <v>19</v>
      </c>
      <c r="I3" s="16"/>
    </row>
    <row r="4" spans="1:9">
      <c r="A4" s="6" t="s">
        <v>22</v>
      </c>
      <c r="B4" s="6" t="s">
        <v>23</v>
      </c>
      <c r="C4" s="16" t="s">
        <v>19</v>
      </c>
      <c r="D4" s="41">
        <v>20000</v>
      </c>
      <c r="E4" s="16">
        <v>35</v>
      </c>
      <c r="F4" s="17">
        <v>2100000</v>
      </c>
      <c r="G4" s="41">
        <f t="shared" si="0"/>
        <v>700000</v>
      </c>
      <c r="H4" s="16" t="s">
        <v>19</v>
      </c>
      <c r="I4" s="16"/>
    </row>
    <row r="5" spans="1:9">
      <c r="A5" s="18" t="s">
        <v>24</v>
      </c>
      <c r="B5" s="18" t="s">
        <v>25</v>
      </c>
      <c r="C5" s="19" t="s">
        <v>19</v>
      </c>
      <c r="D5" s="41">
        <v>20000</v>
      </c>
      <c r="E5" s="19">
        <v>40</v>
      </c>
      <c r="F5" s="20">
        <v>0</v>
      </c>
      <c r="G5" s="42">
        <f t="shared" si="0"/>
        <v>800000</v>
      </c>
      <c r="H5" s="21" t="s">
        <v>19</v>
      </c>
      <c r="I5" s="19"/>
    </row>
    <row r="6" spans="1:9">
      <c r="A6" s="6" t="s">
        <v>26</v>
      </c>
      <c r="B6" s="6" t="s">
        <v>27</v>
      </c>
      <c r="C6" s="16" t="s">
        <v>19</v>
      </c>
      <c r="D6" s="41">
        <v>20000</v>
      </c>
      <c r="E6" s="16">
        <v>38</v>
      </c>
      <c r="F6" s="17">
        <v>2086000</v>
      </c>
      <c r="G6" s="41">
        <f t="shared" si="0"/>
        <v>760000</v>
      </c>
      <c r="H6" s="16" t="s">
        <v>19</v>
      </c>
      <c r="I6" s="16"/>
    </row>
    <row r="7" spans="1:9">
      <c r="A7" s="6" t="s">
        <v>28</v>
      </c>
      <c r="B7" s="6" t="s">
        <v>29</v>
      </c>
      <c r="C7" s="16" t="s">
        <v>19</v>
      </c>
      <c r="D7" s="41">
        <v>20000</v>
      </c>
      <c r="E7" s="16">
        <v>45</v>
      </c>
      <c r="F7" s="6">
        <v>2000000</v>
      </c>
      <c r="G7" s="33">
        <f t="shared" si="0"/>
        <v>900000</v>
      </c>
      <c r="H7" s="16" t="s">
        <v>19</v>
      </c>
      <c r="I7" s="16"/>
    </row>
    <row r="8" spans="1:9">
      <c r="A8" s="6" t="s">
        <v>30</v>
      </c>
      <c r="B8" s="6" t="s">
        <v>31</v>
      </c>
      <c r="C8" s="16" t="s">
        <v>19</v>
      </c>
      <c r="D8" s="41">
        <v>20000</v>
      </c>
      <c r="E8" s="16">
        <v>30</v>
      </c>
      <c r="F8" s="6">
        <v>1200000</v>
      </c>
      <c r="G8" s="33">
        <f t="shared" si="0"/>
        <v>600000</v>
      </c>
      <c r="H8" s="16" t="s">
        <v>19</v>
      </c>
      <c r="I8" s="16"/>
    </row>
    <row r="9" spans="1:9">
      <c r="A9" s="6" t="s">
        <v>32</v>
      </c>
      <c r="B9" s="6" t="s">
        <v>33</v>
      </c>
      <c r="C9" s="16" t="s">
        <v>19</v>
      </c>
      <c r="D9" s="41">
        <v>20000</v>
      </c>
      <c r="E9" s="16">
        <v>30</v>
      </c>
      <c r="F9" s="6">
        <v>1000000</v>
      </c>
      <c r="G9" s="33">
        <f t="shared" si="0"/>
        <v>600000</v>
      </c>
      <c r="H9" s="16" t="s">
        <v>19</v>
      </c>
      <c r="I9" s="16"/>
    </row>
    <row r="10" spans="1:9">
      <c r="A10" s="6" t="s">
        <v>34</v>
      </c>
      <c r="B10" s="6" t="s">
        <v>35</v>
      </c>
      <c r="C10" s="16" t="s">
        <v>19</v>
      </c>
      <c r="D10" s="41">
        <v>20000</v>
      </c>
      <c r="E10" s="16">
        <v>25</v>
      </c>
      <c r="F10" s="6">
        <v>800000</v>
      </c>
      <c r="G10" s="33">
        <f t="shared" si="0"/>
        <v>500000</v>
      </c>
      <c r="H10" s="16" t="s">
        <v>19</v>
      </c>
      <c r="I10" s="16"/>
    </row>
    <row r="11" spans="1:9">
      <c r="A11" s="6" t="s">
        <v>36</v>
      </c>
      <c r="B11" s="6" t="s">
        <v>37</v>
      </c>
      <c r="C11" s="16" t="s">
        <v>19</v>
      </c>
      <c r="D11" s="41">
        <v>20000</v>
      </c>
      <c r="E11" s="16">
        <v>20</v>
      </c>
      <c r="F11" s="6">
        <v>1000000</v>
      </c>
      <c r="G11" s="33">
        <v>1000000</v>
      </c>
      <c r="H11" s="16" t="s">
        <v>19</v>
      </c>
      <c r="I11" s="16"/>
    </row>
    <row r="12" spans="1:9">
      <c r="A12" s="6" t="s">
        <v>38</v>
      </c>
      <c r="B12" s="6" t="s">
        <v>39</v>
      </c>
      <c r="C12" s="16" t="s">
        <v>19</v>
      </c>
      <c r="D12" s="41">
        <v>20000</v>
      </c>
      <c r="E12" s="16">
        <v>328</v>
      </c>
      <c r="F12" s="6"/>
      <c r="G12" s="43">
        <v>26240000</v>
      </c>
      <c r="H12" s="16"/>
      <c r="I12" s="16" t="s">
        <v>40</v>
      </c>
    </row>
    <row r="13" spans="1:9">
      <c r="A13" s="7"/>
      <c r="B13" s="7"/>
      <c r="C13" s="7"/>
      <c r="D13" s="37"/>
      <c r="E13" s="7"/>
      <c r="F13" s="7"/>
    </row>
    <row r="14" spans="1:9">
      <c r="A14" s="7"/>
      <c r="B14" s="23"/>
      <c r="C14" s="7"/>
      <c r="D14" s="37"/>
      <c r="E14" s="7"/>
      <c r="F14" s="7"/>
    </row>
    <row r="15" spans="1:9">
      <c r="A15" s="7"/>
      <c r="B15" s="7"/>
      <c r="C15" s="7"/>
      <c r="D15" s="37"/>
      <c r="E15" s="7"/>
      <c r="F15" s="7"/>
    </row>
    <row r="16" spans="1:9">
      <c r="A16" s="7"/>
      <c r="B16" s="7"/>
      <c r="C16" s="7"/>
      <c r="D16" s="37"/>
      <c r="E16" s="7"/>
      <c r="F16" s="7"/>
    </row>
    <row r="17" spans="1:6">
      <c r="A17" s="7"/>
      <c r="B17" s="7"/>
      <c r="C17" s="7"/>
      <c r="D17" s="37"/>
      <c r="E17" s="7"/>
      <c r="F17" s="7"/>
    </row>
    <row r="121" spans="1:4">
      <c r="A121" s="24"/>
      <c r="B121" s="25" t="s">
        <v>28</v>
      </c>
      <c r="C121" s="25"/>
      <c r="D121" s="45"/>
    </row>
    <row r="122" spans="1:4">
      <c r="A122" s="26" t="s">
        <v>41</v>
      </c>
      <c r="B122" s="26" t="s">
        <v>42</v>
      </c>
      <c r="C122" s="26" t="s">
        <v>43</v>
      </c>
      <c r="D122" s="46" t="s">
        <v>44</v>
      </c>
    </row>
    <row r="123" spans="1:4">
      <c r="A123" s="27" t="s">
        <v>45</v>
      </c>
      <c r="B123" s="27" t="s">
        <v>46</v>
      </c>
      <c r="C123" s="28">
        <v>55000</v>
      </c>
      <c r="D123" s="47">
        <v>1100000</v>
      </c>
    </row>
    <row r="124" spans="1:4" ht="30">
      <c r="A124" s="27" t="s">
        <v>47</v>
      </c>
      <c r="B124" s="27" t="s">
        <v>46</v>
      </c>
      <c r="C124" s="28">
        <v>55000</v>
      </c>
      <c r="D124" s="47">
        <v>1100000</v>
      </c>
    </row>
    <row r="125" spans="1:4">
      <c r="A125" s="27" t="s">
        <v>48</v>
      </c>
      <c r="B125" s="27" t="s">
        <v>49</v>
      </c>
      <c r="C125" s="28">
        <v>55000</v>
      </c>
      <c r="D125" s="47">
        <v>550000</v>
      </c>
    </row>
    <row r="126" spans="1:4">
      <c r="A126" s="22" t="s">
        <v>50</v>
      </c>
      <c r="B126" s="22"/>
      <c r="C126" s="22"/>
      <c r="D126" s="48">
        <f>D125+D124+D123</f>
        <v>2750000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B15" sqref="B15"/>
    </sheetView>
  </sheetViews>
  <sheetFormatPr baseColWidth="10" defaultColWidth="9" defaultRowHeight="15"/>
  <cols>
    <col min="1" max="1" width="14.28515625" style="2" customWidth="1"/>
    <col min="2" max="2" width="63.5703125" style="2" customWidth="1"/>
    <col min="3" max="3" width="15" style="3" customWidth="1"/>
    <col min="4" max="5" width="25.85546875" style="37" customWidth="1"/>
    <col min="6" max="6" width="15.28515625" style="37" customWidth="1"/>
    <col min="7" max="7" width="16.42578125" style="37" customWidth="1"/>
    <col min="8" max="8" width="17.5703125" style="37" customWidth="1"/>
    <col min="9" max="9" width="16" style="2" customWidth="1"/>
    <col min="10" max="12" width="9" style="2"/>
    <col min="13" max="13" width="72.85546875" style="3" customWidth="1"/>
    <col min="14" max="14" width="14.28515625" style="2" customWidth="1"/>
    <col min="15" max="16384" width="9" style="2"/>
  </cols>
  <sheetData>
    <row r="1" spans="1:13">
      <c r="A1" s="4" t="s">
        <v>9</v>
      </c>
      <c r="B1" s="4" t="s">
        <v>10</v>
      </c>
      <c r="C1" s="5" t="s">
        <v>51</v>
      </c>
      <c r="D1" s="32" t="s">
        <v>14</v>
      </c>
      <c r="E1" s="32" t="s">
        <v>71</v>
      </c>
      <c r="F1" s="32" t="s">
        <v>52</v>
      </c>
      <c r="G1" s="32" t="s">
        <v>53</v>
      </c>
      <c r="H1" s="32" t="s">
        <v>54</v>
      </c>
      <c r="I1" s="4" t="s">
        <v>2</v>
      </c>
      <c r="M1"/>
    </row>
    <row r="2" spans="1:13">
      <c r="A2" s="6" t="s">
        <v>55</v>
      </c>
      <c r="B2" s="7" t="s">
        <v>68</v>
      </c>
      <c r="C2" s="8" t="s">
        <v>19</v>
      </c>
      <c r="D2" s="33">
        <v>25000</v>
      </c>
      <c r="E2" s="33">
        <f>SUM(D2*3)</f>
        <v>75000</v>
      </c>
      <c r="F2" s="34">
        <f>D2*12</f>
        <v>300000</v>
      </c>
      <c r="G2" s="34">
        <f>D2*36</f>
        <v>900000</v>
      </c>
      <c r="H2" s="34">
        <f>D2*60</f>
        <v>1500000</v>
      </c>
      <c r="I2" s="9"/>
      <c r="M2"/>
    </row>
    <row r="3" spans="1:13">
      <c r="A3" s="6" t="s">
        <v>56</v>
      </c>
      <c r="B3" s="6" t="s">
        <v>69</v>
      </c>
      <c r="C3" s="8" t="s">
        <v>19</v>
      </c>
      <c r="D3" s="33">
        <v>61000</v>
      </c>
      <c r="E3" s="33">
        <f>SUM(D3*3)</f>
        <v>183000</v>
      </c>
      <c r="F3" s="34">
        <f>D3*12</f>
        <v>732000</v>
      </c>
      <c r="G3" s="34">
        <f>D3*36</f>
        <v>2196000</v>
      </c>
      <c r="H3" s="34">
        <f>D3*60</f>
        <v>3660000</v>
      </c>
      <c r="I3" s="9"/>
      <c r="M3"/>
    </row>
    <row r="4" spans="1:13">
      <c r="A4" s="6" t="s">
        <v>57</v>
      </c>
      <c r="B4" s="6" t="s">
        <v>58</v>
      </c>
      <c r="C4" s="8" t="s">
        <v>19</v>
      </c>
      <c r="D4" s="33">
        <v>46000</v>
      </c>
      <c r="E4" s="33">
        <f>SUM(D4*3)</f>
        <v>138000</v>
      </c>
      <c r="F4" s="34">
        <f>D4*12</f>
        <v>552000</v>
      </c>
      <c r="G4" s="34">
        <f>D4*36</f>
        <v>1656000</v>
      </c>
      <c r="H4" s="34">
        <f>D4*60</f>
        <v>2760000</v>
      </c>
      <c r="I4" s="9"/>
    </row>
    <row r="5" spans="1:13">
      <c r="A5" s="6" t="s">
        <v>59</v>
      </c>
      <c r="B5" s="7" t="s">
        <v>60</v>
      </c>
      <c r="C5" s="8" t="s">
        <v>19</v>
      </c>
      <c r="D5" s="33">
        <v>95000</v>
      </c>
      <c r="E5" s="33">
        <f>SUM(D5*3)</f>
        <v>285000</v>
      </c>
      <c r="F5" s="34">
        <f>D5*12</f>
        <v>1140000</v>
      </c>
      <c r="G5" s="34">
        <f>D5*36</f>
        <v>3420000</v>
      </c>
      <c r="H5" s="34">
        <f>D5*60</f>
        <v>5700000</v>
      </c>
      <c r="I5" s="9"/>
    </row>
    <row r="6" spans="1:13">
      <c r="A6" s="6" t="s">
        <v>61</v>
      </c>
      <c r="B6" s="6" t="s">
        <v>62</v>
      </c>
      <c r="C6" s="8" t="s">
        <v>19</v>
      </c>
      <c r="D6" s="33">
        <v>33874</v>
      </c>
      <c r="E6" s="33">
        <f>SUM(D6*3)</f>
        <v>101622</v>
      </c>
      <c r="F6" s="34">
        <f>D6*12</f>
        <v>406488</v>
      </c>
      <c r="G6" s="34">
        <f>D6*36</f>
        <v>1219464</v>
      </c>
      <c r="H6" s="34">
        <f>D6*60</f>
        <v>2032440</v>
      </c>
      <c r="I6" s="9"/>
    </row>
    <row r="7" spans="1:13">
      <c r="A7" s="10" t="s">
        <v>50</v>
      </c>
      <c r="B7" s="10"/>
      <c r="C7" s="11"/>
      <c r="D7" s="35"/>
      <c r="E7" s="35">
        <f>SUM(E6+E5+E4+E3+E2)</f>
        <v>782622</v>
      </c>
      <c r="F7" s="35">
        <f>F6+F5+F4+F3+F2</f>
        <v>3130488</v>
      </c>
      <c r="G7" s="35">
        <f>G6+G5+G4+G3+G2</f>
        <v>9391464</v>
      </c>
      <c r="H7" s="35">
        <f>H6+H5+H4+H3+H2</f>
        <v>15652440</v>
      </c>
      <c r="I7" s="10"/>
    </row>
    <row r="12" spans="1:13">
      <c r="B12"/>
      <c r="C12"/>
      <c r="D12" s="36"/>
      <c r="E12" s="36"/>
    </row>
    <row r="13" spans="1:13">
      <c r="B13"/>
      <c r="C13"/>
      <c r="D13" s="36"/>
      <c r="E13" s="36"/>
    </row>
    <row r="14" spans="1:13">
      <c r="B14"/>
      <c r="C14"/>
      <c r="D14" s="36"/>
      <c r="E14" s="36"/>
    </row>
    <row r="15" spans="1:13">
      <c r="B15" s="7"/>
    </row>
    <row r="18" spans="2:5">
      <c r="B18"/>
      <c r="C18"/>
      <c r="D18" s="36"/>
      <c r="E18" s="36"/>
    </row>
    <row r="19" spans="2:5">
      <c r="B19"/>
      <c r="C19"/>
      <c r="D19" s="36"/>
      <c r="E19" s="36"/>
    </row>
    <row r="20" spans="2:5">
      <c r="B20"/>
      <c r="C20"/>
      <c r="D20" s="36"/>
      <c r="E20" s="36"/>
    </row>
    <row r="21" spans="2:5">
      <c r="B21"/>
      <c r="C21"/>
      <c r="D21" s="36"/>
      <c r="E21" s="36"/>
    </row>
    <row r="22" spans="2:5">
      <c r="B22"/>
      <c r="C22"/>
      <c r="D22" s="36"/>
      <c r="E22" s="36"/>
    </row>
    <row r="23" spans="2:5">
      <c r="B23"/>
      <c r="C23"/>
      <c r="D23" s="36"/>
      <c r="E23" s="36"/>
    </row>
    <row r="24" spans="2:5">
      <c r="B24"/>
      <c r="C24"/>
      <c r="D24" s="36"/>
      <c r="E24" s="36"/>
    </row>
    <row r="25" spans="2:5">
      <c r="B25"/>
      <c r="C25"/>
      <c r="D25" s="36"/>
      <c r="E25" s="36"/>
    </row>
    <row r="26" spans="2:5">
      <c r="B26"/>
      <c r="C26"/>
      <c r="D26" s="36"/>
      <c r="E26" s="36"/>
    </row>
    <row r="27" spans="2:5">
      <c r="B27"/>
      <c r="C27"/>
      <c r="D27" s="36"/>
      <c r="E27" s="36"/>
    </row>
    <row r="28" spans="2:5">
      <c r="B28"/>
      <c r="C28"/>
      <c r="D28" s="36"/>
      <c r="E28" s="36"/>
    </row>
    <row r="29" spans="2:5">
      <c r="B29"/>
      <c r="C29"/>
      <c r="D29" s="36"/>
      <c r="E29" s="36"/>
    </row>
    <row r="30" spans="2:5">
      <c r="B30"/>
      <c r="C30"/>
      <c r="D30" s="36"/>
      <c r="E30" s="36"/>
    </row>
    <row r="31" spans="2:5">
      <c r="B31"/>
      <c r="C31"/>
      <c r="D31" s="36"/>
      <c r="E31" s="3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B6" sqref="B6"/>
    </sheetView>
  </sheetViews>
  <sheetFormatPr baseColWidth="10" defaultColWidth="9" defaultRowHeight="15"/>
  <cols>
    <col min="1" max="1" width="16" customWidth="1"/>
    <col min="2" max="2" width="6" customWidth="1"/>
    <col min="3" max="3" width="9" customWidth="1"/>
    <col min="4" max="4" width="19" customWidth="1"/>
    <col min="5" max="5" width="17" customWidth="1"/>
    <col min="6" max="6" width="16" customWidth="1"/>
    <col min="7" max="7" width="14" customWidth="1"/>
    <col min="8" max="8" width="15" customWidth="1"/>
  </cols>
  <sheetData>
    <row r="1" spans="1:8">
      <c r="A1" s="1" t="s">
        <v>63</v>
      </c>
      <c r="B1" s="1" t="s">
        <v>64</v>
      </c>
      <c r="C1" s="1" t="s">
        <v>65</v>
      </c>
      <c r="D1" s="1" t="s">
        <v>66</v>
      </c>
      <c r="E1" s="1" t="s">
        <v>14</v>
      </c>
      <c r="F1" s="1" t="s">
        <v>67</v>
      </c>
      <c r="G1" s="1" t="s">
        <v>52</v>
      </c>
      <c r="H1" s="1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8" sqref="M28"/>
    </sheetView>
  </sheetViews>
  <sheetFormatPr baseColWidth="10" defaultColWidth="9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69400-cb4a-4048-b821-0bbb9ac38a24" xsi:nil="true"/>
    <lcf76f155ced4ddcb4097134ff3c332f xmlns="5082e666-2840-412a-9e86-dd4ad534ac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2E9ED5DB3B46408A2BA12DBE6C2EC1" ma:contentTypeVersion="11" ma:contentTypeDescription="Create a new document." ma:contentTypeScope="" ma:versionID="726847e21b2c8666d9e24dc8711d0be2">
  <xsd:schema xmlns:xsd="http://www.w3.org/2001/XMLSchema" xmlns:xs="http://www.w3.org/2001/XMLSchema" xmlns:p="http://schemas.microsoft.com/office/2006/metadata/properties" xmlns:ns2="5082e666-2840-412a-9e86-dd4ad534ac30" xmlns:ns3="04269400-cb4a-4048-b821-0bbb9ac38a24" targetNamespace="http://schemas.microsoft.com/office/2006/metadata/properties" ma:root="true" ma:fieldsID="bbdec2159fe897d372de69d793ce34e4" ns2:_="" ns3:_="">
    <xsd:import namespace="5082e666-2840-412a-9e86-dd4ad534ac30"/>
    <xsd:import namespace="04269400-cb4a-4048-b821-0bbb9ac38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2e666-2840-412a-9e86-dd4ad534a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69400-cb4a-4048-b821-0bbb9ac38a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e303ba-1de5-4e0b-a2cd-1e2f383f3909}" ma:internalName="TaxCatchAll" ma:showField="CatchAllData" ma:web="04269400-cb4a-4048-b821-0bbb9ac38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CA3C22-09A6-430D-9B22-F0129BC894E8}">
  <ds:schemaRefs/>
</ds:datastoreItem>
</file>

<file path=customXml/itemProps2.xml><?xml version="1.0" encoding="utf-8"?>
<ds:datastoreItem xmlns:ds="http://schemas.openxmlformats.org/officeDocument/2006/customXml" ds:itemID="{1BABE5FB-AEEA-4015-9B48-39DC2167A9E6}">
  <ds:schemaRefs/>
</ds:datastoreItem>
</file>

<file path=customXml/itemProps3.xml><?xml version="1.0" encoding="utf-8"?>
<ds:datastoreItem xmlns:ds="http://schemas.openxmlformats.org/officeDocument/2006/customXml" ds:itemID="{0C808B17-0677-4296-8D57-5329BB9EFA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Ejecutivo</vt:lpstr>
      <vt:lpstr>CAPEX</vt:lpstr>
      <vt:lpstr>OPEX</vt:lpstr>
      <vt:lpstr>Cloud</vt:lpstr>
      <vt:lpstr>Graficos</vt:lpstr>
      <vt:lpstr>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AdminSena</cp:lastModifiedBy>
  <dcterms:created xsi:type="dcterms:W3CDTF">2025-11-15T00:32:00Z</dcterms:created>
  <dcterms:modified xsi:type="dcterms:W3CDTF">2026-02-05T00:21:57Z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0x010100372E9ED5DB3B46408A2BA12DBE6C2EC1</vt:lpwstr>
  </property>
  <property fmtid="{D5CDD505-2E9C-101B-9397-08002B2CF9AE}" pid="3" name="MediaServiceImageTags">
    <vt:lpwstr/>
  </property>
  <property fmtid="{D5CDD505-2E9C-101B-9397-08002B2CF9AE}" pid="4" name="ICV">
    <vt:lpwstr>1E030AFB3D8B41F78DCD8DFAF3EDB66A_13</vt:lpwstr>
  </property>
  <property fmtid="{D5CDD505-2E9C-101B-9397-08002B2CF9AE}" pid="5" name="KSOProductBuildVer">
    <vt:lpwstr>2058-12.2.0.23155</vt:lpwstr>
  </property>
</Properties>
</file>