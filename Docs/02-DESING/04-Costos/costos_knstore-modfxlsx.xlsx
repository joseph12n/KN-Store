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1"/>
  </bookViews>
  <sheets>
    <sheet name="Resumen Ejecutivo" sheetId="1" r:id="rId1"/>
    <sheet name="CAPEX" sheetId="2" r:id="rId2"/>
    <sheet name="OPEX" sheetId="3" r:id="rId3"/>
    <sheet name="Cloud" sheetId="4" state="hidden" r:id="rId4"/>
    <sheet name="Graficos" sheetId="8" r:id="rId5"/>
    <sheet name="Riesgo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<sst xmlns="http://schemas.openxmlformats.org/spreadsheetml/2006/main" count="105" uniqueCount="70">
  <si>
    <t>Indicador</t>
  </si>
  <si>
    <t>Valor</t>
  </si>
  <si>
    <t>Observaciones</t>
  </si>
  <si>
    <t>CAPEX Total</t>
  </si>
  <si>
    <t>OPEX Total Anual</t>
  </si>
  <si>
    <t>Costo total 3 años</t>
  </si>
  <si>
    <t>Costo total 5 años</t>
  </si>
  <si>
    <t>ROI (%)</t>
  </si>
  <si>
    <t>Suponiendo 15% de retorno</t>
  </si>
  <si>
    <t>TOTAL</t>
  </si>
  <si>
    <t/>
  </si>
  <si>
    <t>Categoría</t>
  </si>
  <si>
    <t>Descripción</t>
  </si>
  <si>
    <t>Proveedor</t>
  </si>
  <si>
    <t>Costo por hora</t>
  </si>
  <si>
    <t xml:space="preserve"> Horas Estimadas</t>
  </si>
  <si>
    <t>Costo unitario</t>
  </si>
  <si>
    <t>Costo total</t>
  </si>
  <si>
    <t>Responsable</t>
  </si>
  <si>
    <t>API REST</t>
  </si>
  <si>
    <t>Endpoints CRUD para productos, usuarios, pedidos</t>
  </si>
  <si>
    <t>Desarrolladores</t>
  </si>
  <si>
    <t>Base de Datos</t>
  </si>
  <si>
    <t>Modelado, consultas, normalización</t>
  </si>
  <si>
    <t>Seguridad</t>
  </si>
  <si>
    <t>Tokens, encriptación, permisos</t>
  </si>
  <si>
    <t>Integraciones</t>
  </si>
  <si>
    <t>Pasarela de pagos, notificaciones</t>
  </si>
  <si>
    <t>Panel Admin</t>
  </si>
  <si>
    <t>Gestión de inventario, pedidos, usuarios</t>
  </si>
  <si>
    <t>Diseño UI/UX</t>
  </si>
  <si>
    <t>Wireframes, mockups, experiencia de usuario</t>
  </si>
  <si>
    <t>Catálogo Interactivo</t>
  </si>
  <si>
    <t>Filtros, paginación, vista detallada</t>
  </si>
  <si>
    <t>Carrito de Compras</t>
  </si>
  <si>
    <t>Flujo de compra completo</t>
  </si>
  <si>
    <t>Checkout Seguro</t>
  </si>
  <si>
    <t>Formulario, validaciones, integración pasarela</t>
  </si>
  <si>
    <t>Responsive Design</t>
  </si>
  <si>
    <t>Adaptación móvil, tablet, desktop</t>
  </si>
  <si>
    <t>total</t>
  </si>
  <si>
    <t>Actividad</t>
  </si>
  <si>
    <t>Horas</t>
  </si>
  <si>
    <t>Tarifa</t>
  </si>
  <si>
    <t>Costo</t>
  </si>
  <si>
    <t>Wireframes</t>
  </si>
  <si>
    <t>20 h</t>
  </si>
  <si>
    <t>Mockups Alta Fidelidad</t>
  </si>
  <si>
    <t>Prototipo Navegable</t>
  </si>
  <si>
    <t>10 h</t>
  </si>
  <si>
    <t>Total</t>
  </si>
  <si>
    <t>Periodicidad</t>
  </si>
  <si>
    <t>Costo anual</t>
  </si>
  <si>
    <t>Costo 3 años</t>
  </si>
  <si>
    <t>Costo 5 años</t>
  </si>
  <si>
    <t>Hosting Cloud</t>
  </si>
  <si>
    <t>Hostinger/SiteGround/GoDaddy</t>
  </si>
  <si>
    <t>Dominio</t>
  </si>
  <si>
    <t xml:space="preserve">Domain / Hostinger </t>
  </si>
  <si>
    <t>SSL</t>
  </si>
  <si>
    <t>Certificado de seguridad</t>
  </si>
  <si>
    <t>CDN</t>
  </si>
  <si>
    <t>Cloudflare</t>
  </si>
  <si>
    <t>Monitoreo</t>
  </si>
  <si>
    <t>Logs, métricas, uptime : Uptime.com / ServiceUptime /Pingdom</t>
  </si>
  <si>
    <t>Recurso Cloud</t>
  </si>
  <si>
    <t>SKU</t>
  </si>
  <si>
    <t>Unidad</t>
  </si>
  <si>
    <t>Consumo estimado</t>
  </si>
  <si>
    <t>Costo mensual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</si>
</sst>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#.##000_);[Red]\(&quot;$&quot;#,###.##000\)"/>
    <numFmt numFmtId="179" formatCode="&quot;$&quot;#,###.##000_);[Red]\(&quot;$&quot;#,###.##000\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178" fontId="1" fillId="2" borderId="0" xfId="0" applyNumberFormat="1" applyFont="1" applyFill="1" applyAlignment="1">
      <alignment horizontal="center"/>
    </xf>
    <xf numFmtId="179" fontId="1" fillId="2" borderId="0" xfId="0" applyNumberFormat="1" applyFont="1" applyFill="1" applyAlignment="1">
      <alignment horizontal="center"/>
    </xf>
    <xf numFmtId="179" fontId="0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78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8" fontId="0" fillId="3" borderId="1" xfId="0" applyNumberFormat="1" applyFill="1" applyBorder="1" applyAlignment="1">
      <alignment horizontal="center"/>
    </xf>
    <xf numFmtId="179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4" fontId="1" fillId="4" borderId="0" xfId="0" applyNumberFormat="1" applyFont="1" applyFill="1" applyAlignment="1">
      <alignment horizontal="center" vertical="center"/>
    </xf>
    <xf numFmtId="179" fontId="1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44" fontId="0" fillId="6" borderId="1" xfId="0" applyNumberFormat="1" applyFill="1" applyBorder="1" applyAlignment="1">
      <alignment horizontal="center" vertical="center"/>
    </xf>
    <xf numFmtId="179" fontId="0" fillId="5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0" fontId="2" fillId="8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6" fontId="3" fillId="0" borderId="1" xfId="0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9" fontId="0" fillId="3" borderId="1" xfId="0" applyNumberFormat="1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CAPEX vs OPEX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'Resumen Ejecutivo'!$A$2:$A$3</c:f>
              <c:strCache>
                <c:ptCount val="2"/>
                <c:pt idx="0">
                  <c:v>CAPEX Total</c:v>
                </c:pt>
                <c:pt idx="1">
                  <c:v>OPEX Total Anual</c:v>
                </c:pt>
              </c:strCache>
            </c:strRef>
          </c:cat>
          <c:val>
            <c:numRef>
              <c:f>'Resumen Ejecutivo'!$B$2:$B$3</c:f>
              <c:numCache>
                <c:formatCode>"$"#,###.##000_);[Red]\("$"#,###.##000\)</c:formatCode>
                <c:ptCount val="2"/>
                <c:pt idx="0">
                  <c:v>19480000</c:v>
                </c:pt>
                <c:pt idx="1">
                  <c:v>3130488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e97c82-56e7-4b7c-8709-9f3024c2a2f7}"/>
      </c:ext>
    </c:extLst>
  </c:chart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Costos Totales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'Resumen Ejecutivo'!$A$3:$A$4</c:f>
              <c:strCache>
                <c:ptCount val="2"/>
                <c:pt idx="0">
                  <c:v>OPEX Total Anual</c:v>
                </c:pt>
                <c:pt idx="1">
                  <c:v>Costo total 3 años</c:v>
                </c:pt>
              </c:strCache>
            </c:strRef>
          </c:cat>
          <c:val>
            <c:numRef>
              <c:f>'Resumen Ejecutivo'!$B$3:$B$4</c:f>
              <c:numCache>
                <c:formatCode>"$"#,###.##000_);[Red]\("$"#,###.##000\)</c:formatCode>
                <c:ptCount val="2"/>
                <c:pt idx="0">
                  <c:v>3130488</c:v>
                </c:pt>
                <c:pt idx="1">
                  <c:v>9391464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#.##000_);[Red]\(&quot;$&quot;#,###.##0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69aeda-3d64-4878-a8ee-5ef5ed02aef6}"/>
      </c:ext>
    </c:extLst>
  </c:chart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105410</xdr:rowOff>
    </xdr:from>
    <xdr:ext cx="5400000" cy="2700000"/>
    <xdr:graphicFrame>
      <xdr:nvGraphicFramePr>
        <xdr:cNvPr id="2" name="Chart 1"/>
        <xdr:cNvGraphicFramePr/>
      </xdr:nvGraphicFramePr>
      <xdr:xfrm>
        <a:off x="635" y="10541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>
      <xdr:nvGraphicFramePr>
        <xdr:cNvPr id="3" name="Chart 2"/>
        <xdr:cNvGraphicFramePr/>
      </xdr:nvGraphicFramePr>
      <xdr:xfrm>
        <a:off x="0" y="36195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1" sqref="C11"/>
    </sheetView>
  </sheetViews>
  <sheetFormatPr defaultColWidth="9" defaultRowHeight="15" outlineLevelRow="6" outlineLevelCol="2"/>
  <cols>
    <col min="1" max="1" width="21" style="35" customWidth="1"/>
    <col min="2" max="2" width="40" style="35" customWidth="1"/>
    <col min="3" max="3" width="55.2857142857143" style="35" customWidth="1"/>
    <col min="4" max="16384" width="9" style="35"/>
  </cols>
  <sheetData>
    <row r="1" spans="1:3">
      <c r="A1" s="46" t="s">
        <v>0</v>
      </c>
      <c r="B1" s="46" t="s">
        <v>1</v>
      </c>
      <c r="C1" s="46" t="s">
        <v>2</v>
      </c>
    </row>
    <row r="2" spans="1:3">
      <c r="A2" s="47" t="s">
        <v>3</v>
      </c>
      <c r="B2" s="48">
        <f>SUM(CAPEX!G12)</f>
        <v>19480000</v>
      </c>
      <c r="C2" s="47"/>
    </row>
    <row r="3" spans="1:3">
      <c r="A3" s="47" t="s">
        <v>4</v>
      </c>
      <c r="B3" s="48">
        <f>SUM(OPEX!E7)</f>
        <v>3130488</v>
      </c>
      <c r="C3" s="47"/>
    </row>
    <row r="4" spans="1:3">
      <c r="A4" s="47" t="s">
        <v>5</v>
      </c>
      <c r="B4" s="48">
        <f>OPEX!F7</f>
        <v>9391464</v>
      </c>
      <c r="C4" s="47"/>
    </row>
    <row r="5" spans="1:3">
      <c r="A5" s="47" t="s">
        <v>6</v>
      </c>
      <c r="B5" s="48">
        <f>OPEX!G7</f>
        <v>15652440</v>
      </c>
      <c r="C5" s="47"/>
    </row>
    <row r="6" spans="1:3">
      <c r="A6" s="47" t="s">
        <v>7</v>
      </c>
      <c r="B6" s="47">
        <f>(B2*0.15)/B4</f>
        <v>0.311133599617695</v>
      </c>
      <c r="C6" s="47" t="s">
        <v>8</v>
      </c>
    </row>
    <row r="7" spans="1:3">
      <c r="A7" s="49" t="s">
        <v>9</v>
      </c>
      <c r="B7" s="49">
        <f>SUM(B2:B6)</f>
        <v>47654392.3111336</v>
      </c>
      <c r="C7" s="4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"/>
  <sheetViews>
    <sheetView tabSelected="1" workbookViewId="0">
      <selection activeCell="G13" sqref="G13"/>
    </sheetView>
  </sheetViews>
  <sheetFormatPr defaultColWidth="9" defaultRowHeight="15"/>
  <cols>
    <col min="1" max="1" width="20.4285714285714" style="17" customWidth="1"/>
    <col min="2" max="2" width="50.2857142857143" style="17" customWidth="1"/>
    <col min="3" max="3" width="16.2857142857143" style="17" customWidth="1"/>
    <col min="4" max="4" width="16.2857142857143" style="18" customWidth="1"/>
    <col min="5" max="5" width="17" style="17" customWidth="1"/>
    <col min="6" max="6" width="15.2857142857143" style="19" hidden="1" customWidth="1"/>
    <col min="7" max="7" width="16.4285714285714" style="19" customWidth="1"/>
    <col min="8" max="8" width="16.2857142857143" style="17" hidden="1" customWidth="1"/>
    <col min="9" max="9" width="50.2857142857143" style="17" customWidth="1"/>
    <col min="10" max="16384" width="9" style="17"/>
  </cols>
  <sheetData>
    <row r="1" spans="1:9">
      <c r="A1" s="20" t="s">
        <v>11</v>
      </c>
      <c r="B1" s="20" t="s">
        <v>12</v>
      </c>
      <c r="C1" s="20" t="s">
        <v>13</v>
      </c>
      <c r="D1" s="21" t="s">
        <v>14</v>
      </c>
      <c r="E1" s="20" t="s">
        <v>15</v>
      </c>
      <c r="F1" s="22" t="s">
        <v>16</v>
      </c>
      <c r="G1" s="22" t="s">
        <v>17</v>
      </c>
      <c r="H1" s="20" t="s">
        <v>18</v>
      </c>
      <c r="I1" s="20" t="s">
        <v>2</v>
      </c>
    </row>
    <row r="2" spans="1:9">
      <c r="A2" s="8" t="s">
        <v>19</v>
      </c>
      <c r="B2" s="8" t="s">
        <v>20</v>
      </c>
      <c r="C2" s="23" t="s">
        <v>21</v>
      </c>
      <c r="D2" s="24">
        <v>60000</v>
      </c>
      <c r="E2" s="23">
        <v>30</v>
      </c>
      <c r="F2" s="25">
        <f>D2*E2</f>
        <v>1800000</v>
      </c>
      <c r="G2" s="25">
        <f>D2*E2</f>
        <v>1800000</v>
      </c>
      <c r="H2" s="23" t="s">
        <v>21</v>
      </c>
      <c r="I2" s="23"/>
    </row>
    <row r="3" spans="1:9">
      <c r="A3" s="8" t="s">
        <v>22</v>
      </c>
      <c r="B3" s="8" t="s">
        <v>23</v>
      </c>
      <c r="C3" s="23" t="s">
        <v>21</v>
      </c>
      <c r="D3" s="24">
        <v>60000</v>
      </c>
      <c r="E3" s="23">
        <v>35</v>
      </c>
      <c r="F3" s="25">
        <v>1700000</v>
      </c>
      <c r="G3" s="25">
        <f>D3*E3</f>
        <v>2100000</v>
      </c>
      <c r="H3" s="23" t="s">
        <v>21</v>
      </c>
      <c r="I3" s="23"/>
    </row>
    <row r="4" spans="1:9">
      <c r="A4" s="8" t="s">
        <v>24</v>
      </c>
      <c r="B4" s="8" t="s">
        <v>25</v>
      </c>
      <c r="C4" s="23" t="s">
        <v>21</v>
      </c>
      <c r="D4" s="24">
        <v>60000</v>
      </c>
      <c r="E4" s="23">
        <v>35</v>
      </c>
      <c r="F4" s="25">
        <v>2100000</v>
      </c>
      <c r="G4" s="25">
        <f>D4*E4</f>
        <v>2100000</v>
      </c>
      <c r="H4" s="23" t="s">
        <v>21</v>
      </c>
      <c r="I4" s="23"/>
    </row>
    <row r="5" spans="1:9">
      <c r="A5" s="26" t="s">
        <v>26</v>
      </c>
      <c r="B5" s="26" t="s">
        <v>27</v>
      </c>
      <c r="C5" s="27" t="s">
        <v>21</v>
      </c>
      <c r="D5" s="28">
        <v>60000</v>
      </c>
      <c r="E5" s="27">
        <v>40</v>
      </c>
      <c r="F5" s="29">
        <v>0</v>
      </c>
      <c r="G5" s="29">
        <f>D5*E5</f>
        <v>2400000</v>
      </c>
      <c r="H5" s="30" t="s">
        <v>21</v>
      </c>
      <c r="I5" s="27"/>
    </row>
    <row r="6" spans="1:9">
      <c r="A6" s="8" t="s">
        <v>28</v>
      </c>
      <c r="B6" s="8" t="s">
        <v>29</v>
      </c>
      <c r="C6" s="23" t="s">
        <v>21</v>
      </c>
      <c r="D6" s="24">
        <v>60000</v>
      </c>
      <c r="E6" s="23">
        <v>38</v>
      </c>
      <c r="F6" s="25">
        <v>2086000</v>
      </c>
      <c r="G6" s="25">
        <f>D6*E6</f>
        <v>2280000</v>
      </c>
      <c r="H6" s="23" t="s">
        <v>21</v>
      </c>
      <c r="I6" s="23"/>
    </row>
    <row r="7" spans="1:9">
      <c r="A7" s="8" t="s">
        <v>30</v>
      </c>
      <c r="B7" s="8" t="s">
        <v>31</v>
      </c>
      <c r="C7" s="23" t="s">
        <v>21</v>
      </c>
      <c r="D7" s="24">
        <v>60000</v>
      </c>
      <c r="E7" s="23">
        <v>45</v>
      </c>
      <c r="F7" s="8">
        <v>2000000</v>
      </c>
      <c r="G7" s="8">
        <f>D7*E7</f>
        <v>2700000</v>
      </c>
      <c r="H7" s="23" t="s">
        <v>21</v>
      </c>
      <c r="I7" s="23"/>
    </row>
    <row r="8" spans="1:9">
      <c r="A8" s="8" t="s">
        <v>32</v>
      </c>
      <c r="B8" s="8" t="s">
        <v>33</v>
      </c>
      <c r="C8" s="23" t="s">
        <v>21</v>
      </c>
      <c r="D8" s="24">
        <v>60000</v>
      </c>
      <c r="E8" s="23">
        <v>30</v>
      </c>
      <c r="F8" s="8">
        <v>1200000</v>
      </c>
      <c r="G8" s="8">
        <f>D8*E8</f>
        <v>1800000</v>
      </c>
      <c r="H8" s="23" t="s">
        <v>21</v>
      </c>
      <c r="I8" s="23"/>
    </row>
    <row r="9" spans="1:9">
      <c r="A9" s="8" t="s">
        <v>34</v>
      </c>
      <c r="B9" s="8" t="s">
        <v>35</v>
      </c>
      <c r="C9" s="23" t="s">
        <v>21</v>
      </c>
      <c r="D9" s="24">
        <v>60000</v>
      </c>
      <c r="E9" s="23">
        <v>30</v>
      </c>
      <c r="F9" s="8">
        <v>1000000</v>
      </c>
      <c r="G9" s="8">
        <f>D9*E9</f>
        <v>1800000</v>
      </c>
      <c r="H9" s="23" t="s">
        <v>21</v>
      </c>
      <c r="I9" s="23"/>
    </row>
    <row r="10" spans="1:9">
      <c r="A10" s="8" t="s">
        <v>36</v>
      </c>
      <c r="B10" s="8" t="s">
        <v>37</v>
      </c>
      <c r="C10" s="23" t="s">
        <v>21</v>
      </c>
      <c r="D10" s="24">
        <v>60000</v>
      </c>
      <c r="E10" s="23">
        <v>25</v>
      </c>
      <c r="F10" s="8">
        <v>800000</v>
      </c>
      <c r="G10" s="8">
        <f>D10*E10</f>
        <v>1500000</v>
      </c>
      <c r="H10" s="23" t="s">
        <v>21</v>
      </c>
      <c r="I10" s="23"/>
    </row>
    <row r="11" spans="1:9">
      <c r="A11" s="8" t="s">
        <v>38</v>
      </c>
      <c r="B11" s="8" t="s">
        <v>39</v>
      </c>
      <c r="C11" s="23" t="s">
        <v>21</v>
      </c>
      <c r="D11" s="24">
        <v>60000</v>
      </c>
      <c r="E11" s="23">
        <v>20</v>
      </c>
      <c r="F11" s="8">
        <v>1000000</v>
      </c>
      <c r="G11" s="8">
        <v>1000000</v>
      </c>
      <c r="H11" s="23" t="s">
        <v>21</v>
      </c>
      <c r="I11" s="23"/>
    </row>
    <row r="12" spans="1:9">
      <c r="A12" s="31" t="s">
        <v>40</v>
      </c>
      <c r="B12" s="31"/>
      <c r="C12" s="31"/>
      <c r="D12" s="32"/>
      <c r="E12" s="31"/>
      <c r="F12" s="31"/>
      <c r="G12" s="33">
        <f>G11+G10+G9+G8+G7+G6+G5+G4+G3+G2</f>
        <v>19480000</v>
      </c>
      <c r="H12" s="34"/>
      <c r="I12" s="34"/>
    </row>
    <row r="13" spans="1:6">
      <c r="A13" s="35"/>
      <c r="B13" s="35"/>
      <c r="C13" s="35"/>
      <c r="D13" s="36"/>
      <c r="E13" s="35"/>
      <c r="F13" s="35"/>
    </row>
    <row r="14" spans="1:6">
      <c r="A14" s="35"/>
      <c r="B14" s="35"/>
      <c r="C14" s="35"/>
      <c r="D14" s="36"/>
      <c r="E14" s="35"/>
      <c r="F14" s="35"/>
    </row>
    <row r="15" spans="1:6">
      <c r="A15" s="35"/>
      <c r="B15" s="35"/>
      <c r="C15" s="35"/>
      <c r="D15" s="36"/>
      <c r="E15" s="35"/>
      <c r="F15" s="35"/>
    </row>
    <row r="16" spans="1:6">
      <c r="A16" s="35"/>
      <c r="B16" s="35"/>
      <c r="C16" s="35"/>
      <c r="D16" s="36"/>
      <c r="E16" s="35"/>
      <c r="F16" s="35"/>
    </row>
    <row r="120" spans="1:4">
      <c r="A120" s="37"/>
      <c r="B120" s="38" t="s">
        <v>30</v>
      </c>
      <c r="C120" s="38"/>
      <c r="D120" s="39"/>
    </row>
    <row r="121" spans="1:4">
      <c r="A121" s="40" t="s">
        <v>41</v>
      </c>
      <c r="B121" s="40" t="s">
        <v>42</v>
      </c>
      <c r="C121" s="40" t="s">
        <v>43</v>
      </c>
      <c r="D121" s="40" t="s">
        <v>44</v>
      </c>
    </row>
    <row r="122" spans="1:4">
      <c r="A122" s="41" t="s">
        <v>45</v>
      </c>
      <c r="B122" s="41" t="s">
        <v>46</v>
      </c>
      <c r="C122" s="42">
        <v>55000</v>
      </c>
      <c r="D122" s="43">
        <v>1100000</v>
      </c>
    </row>
    <row r="123" ht="30" spans="1:4">
      <c r="A123" s="41" t="s">
        <v>47</v>
      </c>
      <c r="B123" s="41" t="s">
        <v>46</v>
      </c>
      <c r="C123" s="42">
        <v>55000</v>
      </c>
      <c r="D123" s="43">
        <v>1100000</v>
      </c>
    </row>
    <row r="124" spans="1:4">
      <c r="A124" s="41" t="s">
        <v>48</v>
      </c>
      <c r="B124" s="41" t="s">
        <v>49</v>
      </c>
      <c r="C124" s="42">
        <v>55000</v>
      </c>
      <c r="D124" s="43">
        <v>550000</v>
      </c>
    </row>
    <row r="125" spans="1:4">
      <c r="A125" s="44" t="s">
        <v>50</v>
      </c>
      <c r="B125" s="44"/>
      <c r="C125" s="44"/>
      <c r="D125" s="45">
        <f>D124+D123+D122</f>
        <v>2750000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D12" sqref="D12"/>
    </sheetView>
  </sheetViews>
  <sheetFormatPr defaultColWidth="9" defaultRowHeight="15"/>
  <cols>
    <col min="1" max="1" width="14.2857142857143" style="2" customWidth="1"/>
    <col min="2" max="2" width="63.5714285714286" style="2" customWidth="1"/>
    <col min="3" max="3" width="15" style="3" customWidth="1"/>
    <col min="4" max="4" width="25.8571428571429" style="3" customWidth="1"/>
    <col min="5" max="5" width="15.2857142857143" style="4" customWidth="1"/>
    <col min="6" max="6" width="16.4285714285714" style="4" customWidth="1"/>
    <col min="7" max="7" width="17.5714285714286" style="4" customWidth="1"/>
    <col min="8" max="8" width="16" style="2" customWidth="1"/>
    <col min="9" max="11" width="9" style="2"/>
    <col min="12" max="12" width="72.8571428571429" style="3" customWidth="1"/>
    <col min="13" max="13" width="14.2857142857143" style="2" customWidth="1"/>
    <col min="14" max="16384" width="9" style="2"/>
  </cols>
  <sheetData>
    <row r="1" spans="1:12">
      <c r="A1" s="5" t="s">
        <v>11</v>
      </c>
      <c r="B1" s="5" t="s">
        <v>12</v>
      </c>
      <c r="C1" s="6" t="s">
        <v>51</v>
      </c>
      <c r="D1" s="6" t="s">
        <v>16</v>
      </c>
      <c r="E1" s="7" t="s">
        <v>52</v>
      </c>
      <c r="F1" s="7" t="s">
        <v>53</v>
      </c>
      <c r="G1" s="7" t="s">
        <v>54</v>
      </c>
      <c r="H1" s="5" t="s">
        <v>2</v>
      </c>
      <c r="L1"/>
    </row>
    <row r="2" spans="1:12">
      <c r="A2" s="8" t="s">
        <v>55</v>
      </c>
      <c r="B2" s="9" t="s">
        <v>56</v>
      </c>
      <c r="C2" s="10" t="s">
        <v>21</v>
      </c>
      <c r="D2" s="11">
        <v>25000</v>
      </c>
      <c r="E2" s="12">
        <f>D2*12</f>
        <v>300000</v>
      </c>
      <c r="F2" s="12">
        <f>D2*36</f>
        <v>900000</v>
      </c>
      <c r="G2" s="12">
        <f>D2*60</f>
        <v>1500000</v>
      </c>
      <c r="H2" s="13"/>
      <c r="L2"/>
    </row>
    <row r="3" spans="1:12">
      <c r="A3" s="8" t="s">
        <v>57</v>
      </c>
      <c r="B3" s="8" t="s">
        <v>58</v>
      </c>
      <c r="C3" s="10" t="s">
        <v>21</v>
      </c>
      <c r="D3" s="11">
        <v>61000</v>
      </c>
      <c r="E3" s="12">
        <f>D3*12</f>
        <v>732000</v>
      </c>
      <c r="F3" s="12">
        <f>D3*36</f>
        <v>2196000</v>
      </c>
      <c r="G3" s="12">
        <f>D3*60</f>
        <v>3660000</v>
      </c>
      <c r="H3" s="13"/>
      <c r="L3"/>
    </row>
    <row r="4" spans="1:8">
      <c r="A4" s="8" t="s">
        <v>59</v>
      </c>
      <c r="B4" s="8" t="s">
        <v>60</v>
      </c>
      <c r="C4" s="10" t="s">
        <v>21</v>
      </c>
      <c r="D4" s="11">
        <v>46000</v>
      </c>
      <c r="E4" s="12">
        <f>D4*12</f>
        <v>552000</v>
      </c>
      <c r="F4" s="12">
        <f>D4*36</f>
        <v>1656000</v>
      </c>
      <c r="G4" s="12">
        <f>D4*60</f>
        <v>2760000</v>
      </c>
      <c r="H4" s="13"/>
    </row>
    <row r="5" spans="1:8">
      <c r="A5" s="8" t="s">
        <v>61</v>
      </c>
      <c r="B5" s="9" t="s">
        <v>62</v>
      </c>
      <c r="C5" s="10" t="s">
        <v>21</v>
      </c>
      <c r="D5" s="11">
        <v>95000</v>
      </c>
      <c r="E5" s="12">
        <f>D5*12</f>
        <v>1140000</v>
      </c>
      <c r="F5" s="12">
        <f>D5*36</f>
        <v>3420000</v>
      </c>
      <c r="G5" s="12">
        <f>D5*60</f>
        <v>5700000</v>
      </c>
      <c r="H5" s="13"/>
    </row>
    <row r="6" spans="1:8">
      <c r="A6" s="8" t="s">
        <v>63</v>
      </c>
      <c r="B6" s="8" t="s">
        <v>64</v>
      </c>
      <c r="C6" s="10" t="s">
        <v>21</v>
      </c>
      <c r="D6" s="11">
        <v>33874</v>
      </c>
      <c r="E6" s="12">
        <f>D6*12</f>
        <v>406488</v>
      </c>
      <c r="F6" s="12">
        <f>D6*36</f>
        <v>1219464</v>
      </c>
      <c r="G6" s="12">
        <f>D6*60</f>
        <v>2032440</v>
      </c>
      <c r="H6" s="13"/>
    </row>
    <row r="7" spans="1:8">
      <c r="A7" s="14" t="s">
        <v>50</v>
      </c>
      <c r="B7" s="14"/>
      <c r="C7" s="15"/>
      <c r="D7" s="15"/>
      <c r="E7" s="16">
        <f>E6+E5+E4+E3+E2</f>
        <v>3130488</v>
      </c>
      <c r="F7" s="16">
        <f>F6+F5+F4+F3+F2</f>
        <v>9391464</v>
      </c>
      <c r="G7" s="16">
        <f>G6+G5+G4+G3+G2</f>
        <v>15652440</v>
      </c>
      <c r="H7" s="14"/>
    </row>
    <row r="12" spans="2:4">
      <c r="B12"/>
      <c r="C12"/>
      <c r="D12"/>
    </row>
    <row r="13" spans="2:4">
      <c r="B13"/>
      <c r="C13"/>
      <c r="D13"/>
    </row>
    <row r="14" spans="2:4">
      <c r="B14"/>
      <c r="C14"/>
      <c r="D14"/>
    </row>
    <row r="15" spans="2:2">
      <c r="B15" s="9"/>
    </row>
    <row r="18" spans="2:4">
      <c r="B18"/>
      <c r="C18"/>
      <c r="D18"/>
    </row>
    <row r="19" spans="2:4">
      <c r="B19"/>
      <c r="C19"/>
      <c r="D19"/>
    </row>
    <row r="20" spans="2:4">
      <c r="B20"/>
      <c r="C20"/>
      <c r="D20"/>
    </row>
    <row r="21" spans="2:4">
      <c r="B21"/>
      <c r="C21"/>
      <c r="D21"/>
    </row>
    <row r="22" spans="2:4">
      <c r="B22"/>
      <c r="C22"/>
      <c r="D22"/>
    </row>
    <row r="23" spans="2:4">
      <c r="B23"/>
      <c r="C23"/>
      <c r="D23"/>
    </row>
    <row r="24" spans="2:4">
      <c r="B24"/>
      <c r="C24"/>
      <c r="D24"/>
    </row>
    <row r="25" spans="2:4">
      <c r="B25"/>
      <c r="C25"/>
      <c r="D25"/>
    </row>
    <row r="26" spans="2:4">
      <c r="B26"/>
      <c r="C26"/>
      <c r="D26"/>
    </row>
    <row r="27" spans="2:4">
      <c r="B27"/>
      <c r="C27"/>
      <c r="D27"/>
    </row>
    <row r="28" spans="2:4">
      <c r="B28"/>
      <c r="C28"/>
      <c r="D28"/>
    </row>
    <row r="29" spans="2:4">
      <c r="B29"/>
      <c r="C29"/>
      <c r="D29"/>
    </row>
    <row r="30" spans="2:4">
      <c r="B30"/>
      <c r="C30"/>
      <c r="D30"/>
    </row>
    <row r="31" spans="2:4">
      <c r="B31"/>
      <c r="C31"/>
      <c r="D3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B6" sqref="B6"/>
    </sheetView>
  </sheetViews>
  <sheetFormatPr defaultColWidth="9" defaultRowHeight="15" outlineLevelCol="7"/>
  <cols>
    <col min="1" max="1" width="16" customWidth="1"/>
    <col min="2" max="2" width="6" customWidth="1"/>
    <col min="3" max="3" width="9" customWidth="1"/>
    <col min="4" max="4" width="19" customWidth="1"/>
    <col min="5" max="5" width="17" customWidth="1"/>
    <col min="6" max="6" width="16" customWidth="1"/>
    <col min="7" max="7" width="14" customWidth="1"/>
    <col min="8" max="8" width="15" customWidth="1"/>
  </cols>
  <sheetData>
    <row r="1" spans="1:8">
      <c r="A1" s="1" t="s">
        <v>65</v>
      </c>
      <c r="B1" s="1" t="s">
        <v>66</v>
      </c>
      <c r="C1" s="1" t="s">
        <v>67</v>
      </c>
      <c r="D1" s="1" t="s">
        <v>68</v>
      </c>
      <c r="E1" s="1" t="s">
        <v>16</v>
      </c>
      <c r="F1" s="1" t="s">
        <v>69</v>
      </c>
      <c r="G1" s="1" t="s">
        <v>52</v>
      </c>
      <c r="H1" s="1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3" sqref="J13"/>
    </sheetView>
  </sheetViews>
  <sheetFormatPr defaultColWidth="9" defaultRowHeight="1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C808B17-0677-4296-8D57-5329BB9EFA67}">
  <ds:schemaRefs/>
</ds:datastoreItem>
</file>

<file path=customXml/itemProps2.xml><?xml version="1.0" encoding="utf-8"?>
<ds:datastoreItem xmlns:ds="http://schemas.openxmlformats.org/officeDocument/2006/customXml" ds:itemID="{1BABE5FB-AEEA-4015-9B48-39DC2167A9E6}">
  <ds:schemaRefs/>
</ds:datastoreItem>
</file>

<file path=customXml/itemProps3.xml><?xml version="1.0" encoding="utf-8"?>
<ds:datastoreItem xmlns:ds="http://schemas.openxmlformats.org/officeDocument/2006/customXml" ds:itemID="{B1CA3C22-09A6-430D-9B22-F0129BC894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Resumen Ejecutivo</vt:lpstr>
      <vt:lpstr>CAPEX</vt:lpstr>
      <vt:lpstr>OPEX</vt:lpstr>
      <vt:lpstr>Cloud</vt:lpstr>
      <vt:lpstr>Graficos</vt:lpstr>
      <vt:lpstr>Riesgos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</cp:lastModifiedBy>
  <dcterms:created xsi:type="dcterms:W3CDTF">2025-11-15T00:32:00Z</dcterms:created>
  <dcterms:modified xsi:type="dcterms:W3CDTF">2025-12-04T00:33:52Z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0x010100372E9ED5DB3B46408A2BA12DBE6C2EC1</vt:lpwstr>
  </property>
  <property fmtid="{D5CDD505-2E9C-101B-9397-08002B2CF9AE}" pid="3" name="MediaServiceImageTags">
    <vt:lpwstr/>
  </property>
  <property fmtid="{D5CDD505-2E9C-101B-9397-08002B2CF9AE}" pid="4" name="ICV">
    <vt:lpwstr>1E030AFB3D8B41F78DCD8DFAF3EDB66A_13</vt:lpwstr>
  </property>
  <property fmtid="{D5CDD505-2E9C-101B-9397-08002B2CF9AE}" pid="5" name="KSOProductBuildVer">
    <vt:lpwstr>2058-12.2.0.23155</vt:lpwstr>
  </property>
</Properties>
</file>